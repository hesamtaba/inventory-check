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eh\Desktop\"/>
    </mc:Choice>
  </mc:AlternateContent>
  <xr:revisionPtr revIDLastSave="0" documentId="8_{7B7D5C55-57F4-40CC-840E-163BD9B7D4E5}" xr6:coauthVersionLast="47" xr6:coauthVersionMax="47" xr10:uidLastSave="{00000000-0000-0000-0000-000000000000}"/>
  <bookViews>
    <workbookView xWindow="-120" yWindow="-120" windowWidth="29040" windowHeight="15720" activeTab="3" xr2:uid="{F785958A-AF61-4394-8F99-61714E8858E2}"/>
  </bookViews>
  <sheets>
    <sheet name="موجودی" sheetId="1" r:id="rId1"/>
    <sheet name="ثبت لیبل" sheetId="2" r:id="rId2"/>
    <sheet name="مغایرت" sheetId="3" r:id="rId3"/>
    <sheet name="طرح نرم افزار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F6" i="2" a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5" i="2"/>
  <c r="A5" i="3" l="1" a="1"/>
  <c r="C7" i="2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<sst xmlns="http://schemas.openxmlformats.org/spreadsheetml/2006/main" count="3753" uniqueCount="1198">
  <si>
    <t>ردیف</t>
  </si>
  <si>
    <t>دسته بندی</t>
  </si>
  <si>
    <t>محصول</t>
  </si>
  <si>
    <t>وزن</t>
  </si>
  <si>
    <t>عیار</t>
  </si>
  <si>
    <t>فی تهیه اجرت درصدی</t>
  </si>
  <si>
    <t>اجرت درصدی فروش</t>
  </si>
  <si>
    <t>فی تهیه اجرت مبلغی</t>
  </si>
  <si>
    <t>اجرت مبلغی فروش</t>
  </si>
  <si>
    <t>فی تهیه سنگ</t>
  </si>
  <si>
    <t>فی فروش سنگ</t>
  </si>
  <si>
    <t>رنگ</t>
  </si>
  <si>
    <t>نوع کالا</t>
  </si>
  <si>
    <t>سایز</t>
  </si>
  <si>
    <t>کد قدیمی</t>
  </si>
  <si>
    <t>وزنی</t>
  </si>
  <si>
    <t>GD02002967 - میرو</t>
  </si>
  <si>
    <t>زرد</t>
  </si>
  <si>
    <t>گردنبند</t>
  </si>
  <si>
    <t>GD02002885 - ماهلین میوه</t>
  </si>
  <si>
    <t>دورنگ</t>
  </si>
  <si>
    <t>مدال</t>
  </si>
  <si>
    <t>GD02002886 - ماهلین میوه</t>
  </si>
  <si>
    <t>GD02002898 - ماهلین میوه</t>
  </si>
  <si>
    <t>GD02002899 - ماهلین میوه</t>
  </si>
  <si>
    <t>GD02002884 - ماهلین میوه</t>
  </si>
  <si>
    <t>GD02002891 - ماهلین میوه</t>
  </si>
  <si>
    <t>GD02002881 - ماهلین میوه</t>
  </si>
  <si>
    <t>GD02002888 - ماهلین میوه</t>
  </si>
  <si>
    <t>GD02002880 - دریایی</t>
  </si>
  <si>
    <t>GD02002878 - دریایی</t>
  </si>
  <si>
    <t>GD02002879 - دریایی</t>
  </si>
  <si>
    <t>GD02002869 - دم وال</t>
  </si>
  <si>
    <t>GD02002871 - دم وال</t>
  </si>
  <si>
    <t>GD02002877 - دم وال</t>
  </si>
  <si>
    <t>GD02002867 - دم وال</t>
  </si>
  <si>
    <t>GD02002876 - دم وال</t>
  </si>
  <si>
    <t>GD02002874 - دم وال</t>
  </si>
  <si>
    <t>GD02002873 - دم وال</t>
  </si>
  <si>
    <t>GD02002870 - دم وال</t>
  </si>
  <si>
    <t>GD02002868 - دو وال</t>
  </si>
  <si>
    <t>GD02002866 - دم وال</t>
  </si>
  <si>
    <t>GD02002901 - هرمس</t>
  </si>
  <si>
    <t>زنجیر</t>
  </si>
  <si>
    <t>GD02002900 - هرمس</t>
  </si>
  <si>
    <t>GD02002903 - هرمس</t>
  </si>
  <si>
    <t>دستبند</t>
  </si>
  <si>
    <t>GD02002889 - ماهلین میوه</t>
  </si>
  <si>
    <t>GD02002902 - هرمس</t>
  </si>
  <si>
    <t>GD02002681 - حروف</t>
  </si>
  <si>
    <t>GD02002679 - کلید</t>
  </si>
  <si>
    <t>GD02002671 - کلید</t>
  </si>
  <si>
    <t>GD02002680 - کلید</t>
  </si>
  <si>
    <t>GD02002673 - کلید</t>
  </si>
  <si>
    <t>GD02002441 - ونیزی0/800</t>
  </si>
  <si>
    <t>GD02002442 - ونیزی 0/800</t>
  </si>
  <si>
    <t>GD02002445 - ظریف</t>
  </si>
  <si>
    <t>GD02002447 - ظریف</t>
  </si>
  <si>
    <t>GD02002446 - ظریف</t>
  </si>
  <si>
    <t>GD02002460 - پروفیلی</t>
  </si>
  <si>
    <t>گوشواره</t>
  </si>
  <si>
    <t>GD02002459 - پروفیلی</t>
  </si>
  <si>
    <t>GD02002456 - حلقه ای لوکس</t>
  </si>
  <si>
    <t>رزگلد</t>
  </si>
  <si>
    <t>GD02002457 - حلقه ای لوکس</t>
  </si>
  <si>
    <t>GD02002454 - فلامینگو</t>
  </si>
  <si>
    <t>GD02002455 - فلامینگو</t>
  </si>
  <si>
    <t>GD02002450 - فلامینگو</t>
  </si>
  <si>
    <t>GD02002449 - فلامینگو</t>
  </si>
  <si>
    <t>GD02002209 - بنی</t>
  </si>
  <si>
    <t>سرویس</t>
  </si>
  <si>
    <t>GD02002184 - بنی</t>
  </si>
  <si>
    <t>GD02002187 - بنی</t>
  </si>
  <si>
    <t>GD02002186 - بنی</t>
  </si>
  <si>
    <t>GD02002419 - هرمس دیپلمات</t>
  </si>
  <si>
    <t>GD02002193 - مینیمال</t>
  </si>
  <si>
    <t>انگشتر</t>
  </si>
  <si>
    <t>GD02002197 - مینیمال</t>
  </si>
  <si>
    <t>GD02002200 - مینیمال</t>
  </si>
  <si>
    <t>GD02002196 - مینیمال</t>
  </si>
  <si>
    <t>GD02002199 - مینیمال</t>
  </si>
  <si>
    <t>GD02002353 - آیینه ای</t>
  </si>
  <si>
    <t>GD02002356 - آیینه ای</t>
  </si>
  <si>
    <t>GD02002351 - آیینه ای</t>
  </si>
  <si>
    <t>GD02002352 - آیینه ای</t>
  </si>
  <si>
    <t>GD02002349 - آیینه ای</t>
  </si>
  <si>
    <t>GD02002194 - مینیمال</t>
  </si>
  <si>
    <t>GD02002195 - مینیمال</t>
  </si>
  <si>
    <t>GD02002201 - گوی</t>
  </si>
  <si>
    <t>GD02002206 - گوی</t>
  </si>
  <si>
    <t>GD02002198 - مینیمال</t>
  </si>
  <si>
    <t>GD02002211 - طنابی کنیک</t>
  </si>
  <si>
    <t>GD02002347</t>
  </si>
  <si>
    <t>GD02002345 - آیینه ای</t>
  </si>
  <si>
    <t>GD02002346 - آیینه ای</t>
  </si>
  <si>
    <t>GD02002350 - آیینه ای</t>
  </si>
  <si>
    <t>GD02002348 - آیینه ای</t>
  </si>
  <si>
    <t>GD02002327 - فروهر</t>
  </si>
  <si>
    <t>GD02002210 - طنابی کنیک</t>
  </si>
  <si>
    <t>GD02002208 - طنابی کنیک</t>
  </si>
  <si>
    <t>GD02002341 - مروارید</t>
  </si>
  <si>
    <t>GD02002213 - لیزری</t>
  </si>
  <si>
    <t>GD02002324 - فروهر</t>
  </si>
  <si>
    <t>GD02002402 - ماهلین</t>
  </si>
  <si>
    <t>GD02002403 - ماهلین</t>
  </si>
  <si>
    <t>GD02002404 - ماهلین</t>
  </si>
  <si>
    <t>GD02002401 - ماهلین</t>
  </si>
  <si>
    <t>GD02002400 - ماهلین</t>
  </si>
  <si>
    <t>GD02002182 - تراش</t>
  </si>
  <si>
    <t>GD02002183 - تراش</t>
  </si>
  <si>
    <t>GD02002309 - مینیمال</t>
  </si>
  <si>
    <t>GD02002307 - مینیمال</t>
  </si>
  <si>
    <t>GD02002305 - مینیمال</t>
  </si>
  <si>
    <t>GD02002220 - لیزری</t>
  </si>
  <si>
    <t>نیم ست</t>
  </si>
  <si>
    <t>GD02002218 - لیزری</t>
  </si>
  <si>
    <t>GD02002192 - ونکلیف</t>
  </si>
  <si>
    <t>GD02002189 - شرابه ای</t>
  </si>
  <si>
    <t>GD02002224 - حروف</t>
  </si>
  <si>
    <t>GD02002223 - حروف</t>
  </si>
  <si>
    <t>GD02002226 - حروف</t>
  </si>
  <si>
    <t>GD02002221 - حروف</t>
  </si>
  <si>
    <t>GD02002222 - حروف</t>
  </si>
  <si>
    <t>GD02002225 - حروف</t>
  </si>
  <si>
    <t>GD02002325 - فروهر</t>
  </si>
  <si>
    <t>GD02002301 - مینی</t>
  </si>
  <si>
    <t>GD02002296 - مینی</t>
  </si>
  <si>
    <t>GD02002323 - ایران</t>
  </si>
  <si>
    <t>GD02002299 - مینی</t>
  </si>
  <si>
    <t>GD02002190 - ونکلیف</t>
  </si>
  <si>
    <t>GD02002216 - لیزری</t>
  </si>
  <si>
    <t>GD02002215 - لیزری</t>
  </si>
  <si>
    <t>GD02002217 - لیزری</t>
  </si>
  <si>
    <t>GD02002308 - مینیمال</t>
  </si>
  <si>
    <t>GD02002214 - لیزری</t>
  </si>
  <si>
    <t>GD02002326 - فروهر</t>
  </si>
  <si>
    <t>GD02002321 - ایران</t>
  </si>
  <si>
    <t>GD02002342 - قلب دفورمه</t>
  </si>
  <si>
    <t>GD02002297 - مینی</t>
  </si>
  <si>
    <t>GD02002304 - مینی</t>
  </si>
  <si>
    <t>GD02002310 - مدال</t>
  </si>
  <si>
    <t>GD02002306 - مینیمال</t>
  </si>
  <si>
    <t>GD02002320 - ایران</t>
  </si>
  <si>
    <t>GD02002330 - ماهلین</t>
  </si>
  <si>
    <t>GD02002331 - ماهلین</t>
  </si>
  <si>
    <t>GD02002328 - ماهلین</t>
  </si>
  <si>
    <t>GD02002418 - کارتیه کنیک</t>
  </si>
  <si>
    <t>GD02002417 - کارتیه کنیک</t>
  </si>
  <si>
    <t>GD02002438 - حروف</t>
  </si>
  <si>
    <t>GD02002437 - حروف</t>
  </si>
  <si>
    <t>GD02002436 - حروف</t>
  </si>
  <si>
    <t>GD02002434 - دم وال</t>
  </si>
  <si>
    <t>GD02002439 - حروف</t>
  </si>
  <si>
    <t>GD02002435 - دم وال</t>
  </si>
  <si>
    <t>GD02002227 - هرمس دیپلمات</t>
  </si>
  <si>
    <t>GD02002315 - کلاسیک</t>
  </si>
  <si>
    <t>GD02002311 - کلاسیک</t>
  </si>
  <si>
    <t>GD02002313 - کلاسیک</t>
  </si>
  <si>
    <t>GD02002317 - کلاسیک</t>
  </si>
  <si>
    <t>GD02002314 - کلاسیک</t>
  </si>
  <si>
    <t>GD02002334 - قلب دفورمه</t>
  </si>
  <si>
    <t>GD02002332 - قلب دفورمه</t>
  </si>
  <si>
    <t>GD02002337 - مینا</t>
  </si>
  <si>
    <t>GD02002338</t>
  </si>
  <si>
    <t>GD02002335 - مینا</t>
  </si>
  <si>
    <t>GD02002336 - مینا</t>
  </si>
  <si>
    <t>GD02002372 - پروفیلی لوکس</t>
  </si>
  <si>
    <t>GD02002369 - پروفیلی لوکس</t>
  </si>
  <si>
    <t>GD02002408 - انزو</t>
  </si>
  <si>
    <t>GD02002411 - کارتیه لاو</t>
  </si>
  <si>
    <t>سفید</t>
  </si>
  <si>
    <t>GD02002387 - میوکی</t>
  </si>
  <si>
    <t>سه رنگ</t>
  </si>
  <si>
    <t>GD02002386 - میوکی</t>
  </si>
  <si>
    <t>GD02002398 - بافت</t>
  </si>
  <si>
    <t>GD02002396 - بافت</t>
  </si>
  <si>
    <t>GD02002395 - بافت</t>
  </si>
  <si>
    <t>GD02002394 - بافت</t>
  </si>
  <si>
    <t>GD02002393 - بافت</t>
  </si>
  <si>
    <t>GD02002391 - بافت</t>
  </si>
  <si>
    <t>GD02002390 - بافت</t>
  </si>
  <si>
    <t>GD02002388 - بافت</t>
  </si>
  <si>
    <t>GD02002368 - میوکی</t>
  </si>
  <si>
    <t>GD02002384 - میوکی</t>
  </si>
  <si>
    <t>GD02002383 - میوکی</t>
  </si>
  <si>
    <t>GD02002380 - میوکی</t>
  </si>
  <si>
    <t>GD02002379 - میوکی</t>
  </si>
  <si>
    <t>GD02002378 - میوکی</t>
  </si>
  <si>
    <t>GD02002365 - میوکی</t>
  </si>
  <si>
    <t>GD02002364 - میوکی</t>
  </si>
  <si>
    <t>GD02002363 - میوکی</t>
  </si>
  <si>
    <t>GD02002361 - میوکی</t>
  </si>
  <si>
    <t>GD02002360 - میوکی</t>
  </si>
  <si>
    <t>GD02002359 - میوکی</t>
  </si>
  <si>
    <t>GD02002358 - میوکی</t>
  </si>
  <si>
    <t>GD02002357 - میوکی</t>
  </si>
  <si>
    <t>GD02002416 - کارتیه تخت</t>
  </si>
  <si>
    <t>GD02002412 - کارتیه لاو</t>
  </si>
  <si>
    <t>GD02002413 - کارتیه لاو</t>
  </si>
  <si>
    <t>GD02002415 - کارتیه لاو</t>
  </si>
  <si>
    <t>GD02002414 - کارتیه لاو</t>
  </si>
  <si>
    <t>GD02002406 - آریانا</t>
  </si>
  <si>
    <t>GD02002407 - آریانا</t>
  </si>
  <si>
    <t>GD02002405 - آریانا</t>
  </si>
  <si>
    <t>GD02002370 - پروفیلی لوکس</t>
  </si>
  <si>
    <t>GD02002371 - پروفیلی لوکس</t>
  </si>
  <si>
    <t>GD02002374 - پروفیلی لوکس</t>
  </si>
  <si>
    <t>GD02002375 - پروفیلی لوکس</t>
  </si>
  <si>
    <t>GD02001549 - کارتیه سوپر</t>
  </si>
  <si>
    <t>GD02001551 - کارتیه سوپر</t>
  </si>
  <si>
    <t>GD02001550 - کارتیه سوپر</t>
  </si>
  <si>
    <t>GD02001552 - کارتیه سوپر</t>
  </si>
  <si>
    <t>GD02001580 - کارتیه گرمی</t>
  </si>
  <si>
    <t>GD02001582 - کارتیه کوبیده</t>
  </si>
  <si>
    <t>GD02001581 - کارتیه کوبیده</t>
  </si>
  <si>
    <t>GD02001565 - تک نگین</t>
  </si>
  <si>
    <t>بنگل</t>
  </si>
  <si>
    <t>GD02001564 - تک نگین</t>
  </si>
  <si>
    <t>GD02001560 - تک نگین</t>
  </si>
  <si>
    <t>GD02001562 - تک نگین</t>
  </si>
  <si>
    <t>GD02001734 - ماهلین</t>
  </si>
  <si>
    <t>GD02001553 - موجی</t>
  </si>
  <si>
    <t>GD02001557 - موجی</t>
  </si>
  <si>
    <t>GD02001558 - موجی</t>
  </si>
  <si>
    <t>GD02001556 - موجی</t>
  </si>
  <si>
    <t>GD02001555 - موجی</t>
  </si>
  <si>
    <t>GD02001554 - موجی</t>
  </si>
  <si>
    <t>GD02001540 - هندسی</t>
  </si>
  <si>
    <t>GD02001541 - هندسی</t>
  </si>
  <si>
    <t>GD02001542 - هندسی</t>
  </si>
  <si>
    <t>GD02001545 - حلقه ای لوکس</t>
  </si>
  <si>
    <t>GD02001543 - هندسی</t>
  </si>
  <si>
    <t>سکه پارسیان</t>
  </si>
  <si>
    <t>GD01001619 - پارسیان</t>
  </si>
  <si>
    <t>سکه</t>
  </si>
  <si>
    <t>GD01001601 - پارسیان</t>
  </si>
  <si>
    <t>GD01001620 - پارسیان</t>
  </si>
  <si>
    <t>GD01001602 - پارسیان</t>
  </si>
  <si>
    <t>GD01001652 - پارسیان</t>
  </si>
  <si>
    <t>GD01001603 - پارسیان</t>
  </si>
  <si>
    <t>GD01001653 - پارسیان</t>
  </si>
  <si>
    <t>GD01001586 - پارسیان</t>
  </si>
  <si>
    <t>GD01001654 - پارسیان</t>
  </si>
  <si>
    <t>GD01001587 - پارسیان</t>
  </si>
  <si>
    <t>GD01001588 - پارسیان</t>
  </si>
  <si>
    <t>GD01001668 - پارسیان</t>
  </si>
  <si>
    <t>GD01001589 - پارسیان</t>
  </si>
  <si>
    <t>GD01001590 - پارسیان</t>
  </si>
  <si>
    <t>GD01001669 - پارسیان</t>
  </si>
  <si>
    <t>GD01001591 - پارسیان</t>
  </si>
  <si>
    <t>GD01001607 - پارسیان</t>
  </si>
  <si>
    <t>GD01001687 - پارسیان</t>
  </si>
  <si>
    <t>GD01001608 - پارسیان</t>
  </si>
  <si>
    <t>GD01001609 - پارسیان</t>
  </si>
  <si>
    <t>GD01001703 - پارسیان</t>
  </si>
  <si>
    <t>GD01001604 - پارسیان</t>
  </si>
  <si>
    <t>GD01001605 - پارسیان</t>
  </si>
  <si>
    <t>GD01001701 - پارسیان</t>
  </si>
  <si>
    <t>GD01001606 - پارسیان</t>
  </si>
  <si>
    <t>GD01001702 - پارسیان</t>
  </si>
  <si>
    <t>GD01001610 - پارسیان</t>
  </si>
  <si>
    <t>GD01001611 - پارسیان</t>
  </si>
  <si>
    <t>GD01001698 - پارسیان</t>
  </si>
  <si>
    <t>GD01001612 - پارسیان</t>
  </si>
  <si>
    <t>GD01001699 - پارسیان</t>
  </si>
  <si>
    <t>GD01001613 - پارسیان</t>
  </si>
  <si>
    <t>GD01001700 - پارسیان</t>
  </si>
  <si>
    <t>GD01001614 - پارسیان</t>
  </si>
  <si>
    <t>GD01001595 - پارسیان</t>
  </si>
  <si>
    <t>GD01001615 - پارسیان</t>
  </si>
  <si>
    <t>GD01001596 - پارسیان</t>
  </si>
  <si>
    <t>GD01001597 - پارسیان</t>
  </si>
  <si>
    <t>GD01001719 - پارسیان</t>
  </si>
  <si>
    <t>GD01001621 - پارسیان</t>
  </si>
  <si>
    <t>GD01001616 - پارسیان</t>
  </si>
  <si>
    <t>GD01001617 - پارسیان</t>
  </si>
  <si>
    <t>GD01001618 - پارسیان</t>
  </si>
  <si>
    <t>GD01001664 - پارسیان</t>
  </si>
  <si>
    <t>GD01001661 - پارسیان</t>
  </si>
  <si>
    <t>GD01001662 - پارسیان</t>
  </si>
  <si>
    <t>GD01001663 - پارسیان</t>
  </si>
  <si>
    <t>GD01001658 - پارسیان</t>
  </si>
  <si>
    <t>GD01001659 - پارسیان</t>
  </si>
  <si>
    <t>GD01001660 - پارسیان</t>
  </si>
  <si>
    <t>GD01001655 - پارسیان</t>
  </si>
  <si>
    <t>GD01001656 - پارسیان</t>
  </si>
  <si>
    <t>GD01001657 - پارسیان</t>
  </si>
  <si>
    <t>GD01001721 - پارسیان</t>
  </si>
  <si>
    <t>GD01001722 - پارسیان</t>
  </si>
  <si>
    <t>GD01001723 - پارسیان</t>
  </si>
  <si>
    <t>GD01001724 - پارسیان</t>
  </si>
  <si>
    <t>GD01001683 - پارسیان</t>
  </si>
  <si>
    <t>GD01001684 - پارسیان</t>
  </si>
  <si>
    <t>GD01001685 - پارسیان</t>
  </si>
  <si>
    <t>GD01001680 - پارسیان</t>
  </si>
  <si>
    <t>GD01001681 - پارسیان</t>
  </si>
  <si>
    <t>GD01001682 - پارسیان</t>
  </si>
  <si>
    <t>GD01001677 - پارسیان</t>
  </si>
  <si>
    <t>GD01001678 - پارسیان</t>
  </si>
  <si>
    <t>GD01001730 - پارسیان</t>
  </si>
  <si>
    <t>GD01001593 - پارسیان</t>
  </si>
  <si>
    <t>GD01001594 - پارسیان</t>
  </si>
  <si>
    <t>GD01001731 - پارسیان</t>
  </si>
  <si>
    <t>GD01001732 - پارسیان</t>
  </si>
  <si>
    <t>GD01001733 - پارسیان</t>
  </si>
  <si>
    <t>GD01001679 - پارسیان</t>
  </si>
  <si>
    <t>GD01001674 - پارسیان</t>
  </si>
  <si>
    <t>GD01001675 - پارسیان</t>
  </si>
  <si>
    <t>GD01001720 - پارسیان</t>
  </si>
  <si>
    <t>GD01001688 - پارسیان</t>
  </si>
  <si>
    <t>GD01001695 - پارسیان</t>
  </si>
  <si>
    <t>GD01001696 - پارسیان</t>
  </si>
  <si>
    <t>GD01001697 - پارسیان</t>
  </si>
  <si>
    <t>GD01001689 - پارسیان</t>
  </si>
  <si>
    <t>GD01001690 - پارسیان</t>
  </si>
  <si>
    <t>GD01001691 - پارسیان</t>
  </si>
  <si>
    <t>GD01001692 - پارسیان</t>
  </si>
  <si>
    <t>GD01001693 - پارسیان</t>
  </si>
  <si>
    <t>GD01001694 - پارسیان</t>
  </si>
  <si>
    <t>GD01001637 - پارسیان</t>
  </si>
  <si>
    <t>GD01001638 - پارسیان</t>
  </si>
  <si>
    <t>GD01001639 - پارسیان</t>
  </si>
  <si>
    <t>GD01001640 - پارسیان</t>
  </si>
  <si>
    <t>GD01001641 - پارسیان</t>
  </si>
  <si>
    <t>GD01001642 - پارسیان</t>
  </si>
  <si>
    <t>GD01001643 - پارسیان</t>
  </si>
  <si>
    <t>GD01001644 - پارسیان</t>
  </si>
  <si>
    <t>GD01001645 - پارسیان</t>
  </si>
  <si>
    <t>GD01001649 - پارسیان</t>
  </si>
  <si>
    <t>GD01001650 - پارسیان</t>
  </si>
  <si>
    <t>GD01001651 - پارسیان</t>
  </si>
  <si>
    <t>GD01001725 - پارسیان</t>
  </si>
  <si>
    <t>GD01001726 - پارسیان</t>
  </si>
  <si>
    <t>GD01001727 - پارسیان</t>
  </si>
  <si>
    <t>GD01001708 - پارسیان</t>
  </si>
  <si>
    <t>GD01001709 - پارسیان</t>
  </si>
  <si>
    <t>GD01001711 - پارسیان</t>
  </si>
  <si>
    <t>GD01001712 - پارسیان</t>
  </si>
  <si>
    <t>GD01001713 - پارسیان</t>
  </si>
  <si>
    <t>GD01001715 - پارسیان</t>
  </si>
  <si>
    <t>GD01001714 - پارسیان</t>
  </si>
  <si>
    <t>GD01001718 - پارسیان</t>
  </si>
  <si>
    <t>GD01001717 - پارسیان</t>
  </si>
  <si>
    <t>GD01001716 - پارسیان</t>
  </si>
  <si>
    <t>GD02001489 - طنابی کنیک</t>
  </si>
  <si>
    <t>GD02001492 - طنابی کنیک</t>
  </si>
  <si>
    <t>GD02001490 - طنابی کنیک</t>
  </si>
  <si>
    <t>GD02001493 - طنابی کنیک</t>
  </si>
  <si>
    <t>GD02001491 - طنابی کنیک</t>
  </si>
  <si>
    <t>GD02001463 - ورساچه</t>
  </si>
  <si>
    <t>GD02001481 - ونکلیف تراش</t>
  </si>
  <si>
    <t>GD02001482 - ونکلیف تراش</t>
  </si>
  <si>
    <t>GD02001479 - ونکلیف تراش</t>
  </si>
  <si>
    <t>GD02001468 - نور</t>
  </si>
  <si>
    <t>حلقه</t>
  </si>
  <si>
    <t>GD02001467 - ورساچه</t>
  </si>
  <si>
    <t>GD02001475 - فیوژن</t>
  </si>
  <si>
    <t>GD02001487 - ونکلیف سنگ</t>
  </si>
  <si>
    <t>GD02001320 - مینیمال</t>
  </si>
  <si>
    <t>GD02001315 - گیتی</t>
  </si>
  <si>
    <t>GD02001309 - پروفیلی</t>
  </si>
  <si>
    <t>GD02001321 - مینیمال</t>
  </si>
  <si>
    <t>GD02001303 - دریایی</t>
  </si>
  <si>
    <t>GD02001302 - پروانه</t>
  </si>
  <si>
    <t>GD02001314 - گیتی</t>
  </si>
  <si>
    <t>GD02001311 - مینا</t>
  </si>
  <si>
    <t>GD02001310 - مینا</t>
  </si>
  <si>
    <t>GD02001349 - ظریف</t>
  </si>
  <si>
    <t>GD02001326 - فلامینگو0/500</t>
  </si>
  <si>
    <t>GD02001341 - ظریف</t>
  </si>
  <si>
    <t>GD02001346 - ظریف</t>
  </si>
  <si>
    <t>GD02001350 - ظریف</t>
  </si>
  <si>
    <t>GD02001348 - ظریف</t>
  </si>
  <si>
    <t>GD02001328 - فلامینگو0/500</t>
  </si>
  <si>
    <t>GD02001330 - فلامینگو0/500</t>
  </si>
  <si>
    <t>GD02001318 - گلد استار</t>
  </si>
  <si>
    <t>GD02001347 - ظریف</t>
  </si>
  <si>
    <t>GD02001384 - قلبی</t>
  </si>
  <si>
    <t>GD02001345 - ظریف</t>
  </si>
  <si>
    <t>GD02001386 - حلقه ای لوکس</t>
  </si>
  <si>
    <t>GD02001385 - حلقه ای لوکس</t>
  </si>
  <si>
    <t>GD02001325 - مینیمال</t>
  </si>
  <si>
    <t>GD02001323 - مینیمال</t>
  </si>
  <si>
    <t>GD02001324 - مینیمال</t>
  </si>
  <si>
    <t>GD02001288 - مینی</t>
  </si>
  <si>
    <t>GD02001287 - مینی</t>
  </si>
  <si>
    <t>GD02001280 - مسترگلد</t>
  </si>
  <si>
    <t>GD02001274 - مروارید</t>
  </si>
  <si>
    <t>GD02001278 - کرد</t>
  </si>
  <si>
    <t>GD02001283 - مینی</t>
  </si>
  <si>
    <t>GD02001264 - لی گلد</t>
  </si>
  <si>
    <t>GD02001277 - کرد</t>
  </si>
  <si>
    <t>GD02001276 - کرد</t>
  </si>
  <si>
    <t>GD02001333 - ظریف</t>
  </si>
  <si>
    <t>GD02001335 - ظریف</t>
  </si>
  <si>
    <t>GD02001281 - مستر گلد</t>
  </si>
  <si>
    <t>GD02001282 - مینی</t>
  </si>
  <si>
    <t>GD02001352 - رستا</t>
  </si>
  <si>
    <t>GD02001285 - مینی</t>
  </si>
  <si>
    <t>GD02001269 - مروارید</t>
  </si>
  <si>
    <t>GD02001259 - لی گلد</t>
  </si>
  <si>
    <t>GD02001257 - لی گلد</t>
  </si>
  <si>
    <t>GD02001258 - لی گلد</t>
  </si>
  <si>
    <t>GD02001298 - پاندورا</t>
  </si>
  <si>
    <t>GD02001265 - لی گلد</t>
  </si>
  <si>
    <t>GD02001286 - مینی</t>
  </si>
  <si>
    <t>GD02001299 - پاندورا</t>
  </si>
  <si>
    <t>GD02001300 - پاندورا</t>
  </si>
  <si>
    <t>GD01001382 - پارسیان</t>
  </si>
  <si>
    <t>GD01001381 - پارسیان</t>
  </si>
  <si>
    <t>GD01001380 - پارسیان</t>
  </si>
  <si>
    <t>GD01001379 - پارسیان</t>
  </si>
  <si>
    <t>GD01001378 - پارسیان</t>
  </si>
  <si>
    <t>GD01001377 - پارسیان</t>
  </si>
  <si>
    <t>GD01001376 - پارسیان</t>
  </si>
  <si>
    <t>GD01001375 - پارسیان</t>
  </si>
  <si>
    <t>GD01001374 - پارسیان</t>
  </si>
  <si>
    <t>GD01001373 - پارسیان</t>
  </si>
  <si>
    <t>GD01001371 - پارسیان</t>
  </si>
  <si>
    <t>GD01001370 - پارسیان</t>
  </si>
  <si>
    <t>GD01001369 - پارسیان</t>
  </si>
  <si>
    <t>GD01001368 - پارسیان</t>
  </si>
  <si>
    <t>GD01001367 - پارسیان</t>
  </si>
  <si>
    <t>GD01001366 - پارسیان</t>
  </si>
  <si>
    <t>GD01001365 - پارسیان</t>
  </si>
  <si>
    <t>GD01001363 - پارسیان</t>
  </si>
  <si>
    <t>GD01001361 - پارسیان</t>
  </si>
  <si>
    <t>GD01001360 - پارسیان</t>
  </si>
  <si>
    <t>GD01001359 - پارسیان</t>
  </si>
  <si>
    <t>GD01001358 - پارسیان</t>
  </si>
  <si>
    <t>GD01001357 - پارسیان</t>
  </si>
  <si>
    <t>GD01001355 - پارسیان</t>
  </si>
  <si>
    <t>GD01001356 - پارسیان</t>
  </si>
  <si>
    <t>GD02001294 - استار گلد</t>
  </si>
  <si>
    <t>GD02001340 - ظریف</t>
  </si>
  <si>
    <t>GD02001339 - ظریف</t>
  </si>
  <si>
    <t>GD02001290 - استار گلد</t>
  </si>
  <si>
    <t>GD02001292 - استار گلد</t>
  </si>
  <si>
    <t>GD02001293 - استار گلد</t>
  </si>
  <si>
    <t>GD02001295 - سان گلد</t>
  </si>
  <si>
    <t>GD02001296 - سان گلد</t>
  </si>
  <si>
    <t>GD02001297 - سان گلد</t>
  </si>
  <si>
    <t>GD02001253 - رولکس</t>
  </si>
  <si>
    <t>GD02001254 - رولکس</t>
  </si>
  <si>
    <t>GD02001252 - رولکس</t>
  </si>
  <si>
    <t>GD02001220 - ونکلیف</t>
  </si>
  <si>
    <t>GD02001219 - ونکلیف</t>
  </si>
  <si>
    <t>GD02001256 - ونکلیف سنگ</t>
  </si>
  <si>
    <t>GD02001255 - ونکلیف سنگ</t>
  </si>
  <si>
    <t>GD02001224 - ایران</t>
  </si>
  <si>
    <t>GD02001222 - ایران</t>
  </si>
  <si>
    <t>GD02001228 - شیر و خورشید</t>
  </si>
  <si>
    <t>GD02001227 - شیر و خورشید</t>
  </si>
  <si>
    <t>GD02001232 - سان گلد</t>
  </si>
  <si>
    <t>GD02001230 - سان گلد</t>
  </si>
  <si>
    <t>GD02001229 - سان گلد</t>
  </si>
  <si>
    <t>GD02001217 - مروارید</t>
  </si>
  <si>
    <t>GD02001236 - گیتی کارتیه</t>
  </si>
  <si>
    <t>GD02001238 - گیتی کارتیه</t>
  </si>
  <si>
    <t>GD02001249 - قلب دفورمه</t>
  </si>
  <si>
    <t>GD02001243 - مینیمال</t>
  </si>
  <si>
    <t>GD02001244 - ورساچه</t>
  </si>
  <si>
    <t>GD02001248 - قلب دفورمه</t>
  </si>
  <si>
    <t>GD02001242 - مینیمال</t>
  </si>
  <si>
    <t>GD02001240 - مینیمال</t>
  </si>
  <si>
    <t>GD02001239 - مینیمال</t>
  </si>
  <si>
    <t>GD02001241 - مینیمال</t>
  </si>
  <si>
    <t>GD01001203 - پارسیان</t>
  </si>
  <si>
    <t>GD01001194 - پارسیان</t>
  </si>
  <si>
    <t>GD01001192 - پارسیان</t>
  </si>
  <si>
    <t>GD01001191 - پارسیان</t>
  </si>
  <si>
    <t>GD01001190 - پارسیان</t>
  </si>
  <si>
    <t>GD01001206 - پارسیان</t>
  </si>
  <si>
    <t>GD02001097 - ارغوان</t>
  </si>
  <si>
    <t>GD02001098 - ارغوان</t>
  </si>
  <si>
    <t>GD02001141 - ونکلیف تراش</t>
  </si>
  <si>
    <t>GD02001133 - ونکلیف سنگ</t>
  </si>
  <si>
    <t>GD02001132 - ونکلیف سنگ</t>
  </si>
  <si>
    <t>GD02001099 - ارغوان</t>
  </si>
  <si>
    <t>GD02001152 - زر</t>
  </si>
  <si>
    <t>GD02001138 - ونکلیف تراش</t>
  </si>
  <si>
    <t>GD02001065 - ریحان</t>
  </si>
  <si>
    <t>GD02001091 - پیوژن</t>
  </si>
  <si>
    <t>GD02001093 - پیوژن</t>
  </si>
  <si>
    <t>GD02001083 - تیفانی</t>
  </si>
  <si>
    <t>GD02001082 - تیفانی</t>
  </si>
  <si>
    <t>GD02001077 - مارکو</t>
  </si>
  <si>
    <t>GD02001071 - شکوفه</t>
  </si>
  <si>
    <t>GD02001072 - شکوفه</t>
  </si>
  <si>
    <t>GD02001076 - ریحان هندسی</t>
  </si>
  <si>
    <t>GD02001074 - ریحان هندسی</t>
  </si>
  <si>
    <t>GD02001073 - ریحان هندسی</t>
  </si>
  <si>
    <t>اتیکت</t>
  </si>
  <si>
    <t>GD03001167 - طنابی کنیک</t>
  </si>
  <si>
    <t>GD03001168 - طنابی کنیک</t>
  </si>
  <si>
    <t>GD02001124 - نیکزر</t>
  </si>
  <si>
    <t>GD02001127 - کف تراش</t>
  </si>
  <si>
    <t>GD02001115 - قلب دفورمه</t>
  </si>
  <si>
    <t>GD02001114 - قلب دفورمه</t>
  </si>
  <si>
    <t>GD02001125 - نیکزر</t>
  </si>
  <si>
    <t>GD02001145 - ونکلیف تراش</t>
  </si>
  <si>
    <t>GD03001166 - حروف تخت</t>
  </si>
  <si>
    <t>GD02001104 - مینیمال</t>
  </si>
  <si>
    <t>GD02001105 - مینیمال</t>
  </si>
  <si>
    <t>GD02001110 - مینیمال</t>
  </si>
  <si>
    <t>GD02001134 - ونکلیف سنگ</t>
  </si>
  <si>
    <t>GD02001112 - مینیمال</t>
  </si>
  <si>
    <t>GD02001155 - پاپیون</t>
  </si>
  <si>
    <t>GD02001177 - مینیمال برات</t>
  </si>
  <si>
    <t>GD02001135 - ونکلیف سنگ</t>
  </si>
  <si>
    <t>GD02001085 - هرمس 0/600</t>
  </si>
  <si>
    <t>GD02001081 - ظریف</t>
  </si>
  <si>
    <t>GD02001078 - ظریف</t>
  </si>
  <si>
    <t>GD02001086 - هرینگبون</t>
  </si>
  <si>
    <t>GD02001087 - هرینگبون</t>
  </si>
  <si>
    <t>GD02001088 - هرینگبون</t>
  </si>
  <si>
    <t>GD02001089 - هرینگبون</t>
  </si>
  <si>
    <t>GD02001160 - نورسولیتر</t>
  </si>
  <si>
    <t>GD02001159 - نور سولیتر</t>
  </si>
  <si>
    <t>GD02001157 - سولیتر</t>
  </si>
  <si>
    <t>GD02001117 - پیچ</t>
  </si>
  <si>
    <t>GD02001153 - زر</t>
  </si>
  <si>
    <t>GD03000878 - پولکی 0.400</t>
  </si>
  <si>
    <t>GD03000879 - پولکی 0.400</t>
  </si>
  <si>
    <t>GD03000872 - پولکی 0.400</t>
  </si>
  <si>
    <t>GD03000869 - پولکی 0.400</t>
  </si>
  <si>
    <t>GD03000870 - پولکی 0.400</t>
  </si>
  <si>
    <t>GD03000868 - پولکی 0.400</t>
  </si>
  <si>
    <t>GD03000867 - پولکی 0.400</t>
  </si>
  <si>
    <t>GD03000865 - پولکی 0.400</t>
  </si>
  <si>
    <t>GD03000863 - پولکی0.400</t>
  </si>
  <si>
    <t>GD03000866 - پولکی 0.400</t>
  </si>
  <si>
    <t>GD03000875 - پولکی 0.400</t>
  </si>
  <si>
    <t>GD03000886 - پولکی0.400</t>
  </si>
  <si>
    <t>GD03000874 - پولکی 0.400</t>
  </si>
  <si>
    <t>GD03000884 - پولکی 0.400</t>
  </si>
  <si>
    <t>GD03000873 - پولکی 0.400</t>
  </si>
  <si>
    <t>GD03000881 - پولکی 0.400</t>
  </si>
  <si>
    <t>GD03000882 - پولکی 0.400</t>
  </si>
  <si>
    <t>GD03000877 - پولکی 0.400</t>
  </si>
  <si>
    <t>GD03000880 - پولکی 0.400</t>
  </si>
  <si>
    <t>GD03000871 - پولکی 0.400</t>
  </si>
  <si>
    <t>GD03000887 - پولکی 0.400</t>
  </si>
  <si>
    <t>GD03000864 - پولکی0.400</t>
  </si>
  <si>
    <t>GD03000883 - پولکی 0.400</t>
  </si>
  <si>
    <t>GD03000889 - حلقه نرمال</t>
  </si>
  <si>
    <t>GD03000891 - حلقه ای نرمال</t>
  </si>
  <si>
    <t>GD03000890 - حلقه ای نرمال</t>
  </si>
  <si>
    <t>GD03000888 - پانکی</t>
  </si>
  <si>
    <t>GD03000901 - فیوژن فانتزی</t>
  </si>
  <si>
    <t>GD03000846 - عروسکی</t>
  </si>
  <si>
    <t>آویز</t>
  </si>
  <si>
    <t>GD03000845 - عروسکی</t>
  </si>
  <si>
    <t>GD03000843 - عروسکی</t>
  </si>
  <si>
    <t>GD03000900 - فیوژن فانتزی</t>
  </si>
  <si>
    <t>GD03000903 - فیوژن فانتزی</t>
  </si>
  <si>
    <t>GD03000907 - فیوژن فانتزی</t>
  </si>
  <si>
    <t>GD03000904 - فیوژن فانتزی</t>
  </si>
  <si>
    <t>GD03000905 - فیوژن فانتزی</t>
  </si>
  <si>
    <t>GD03000841 - کلاسیک</t>
  </si>
  <si>
    <t>GD03000849 - تیفانی</t>
  </si>
  <si>
    <t>GD03000943 - آتنا</t>
  </si>
  <si>
    <t>GD03000939 - آتنا</t>
  </si>
  <si>
    <t>GD03000940 - آتنا</t>
  </si>
  <si>
    <t>GD03000938 - تابان</t>
  </si>
  <si>
    <t>GD03000942 - اتنا</t>
  </si>
  <si>
    <t>GD03000947 - طنابی کنیک</t>
  </si>
  <si>
    <t>GD03001001 - هلیومی</t>
  </si>
  <si>
    <t>GD03001003 - هلیومی</t>
  </si>
  <si>
    <t>GD03001013 - تیفانی</t>
  </si>
  <si>
    <t>GD03000993 - ظریف</t>
  </si>
  <si>
    <t>GD03000925 - زنجیرداما</t>
  </si>
  <si>
    <t>GD03000928 - ام جی زر</t>
  </si>
  <si>
    <t>GD03000930 - ام جی زر</t>
  </si>
  <si>
    <t>GD03000931 - ام جی زر</t>
  </si>
  <si>
    <t>GD03001008 - کرد</t>
  </si>
  <si>
    <t>GD03000944 - ظریف</t>
  </si>
  <si>
    <t>GD03000895 - پاپیون</t>
  </si>
  <si>
    <t>GD03000892 - پاپیون</t>
  </si>
  <si>
    <t>GD03000894 - پاپیون</t>
  </si>
  <si>
    <t>GD03000899 - پاپیون</t>
  </si>
  <si>
    <t>GD03000897 - پاپیون</t>
  </si>
  <si>
    <t>GD03000913 - دلارین</t>
  </si>
  <si>
    <t>GD03000914 - درسام</t>
  </si>
  <si>
    <t>GD03000924 - تیفانی داما</t>
  </si>
  <si>
    <t>GD03001004 - هلیومی</t>
  </si>
  <si>
    <t>GD01000975 - پارسیان</t>
  </si>
  <si>
    <t>پارسیان</t>
  </si>
  <si>
    <t>GD01000971 - پارسیان</t>
  </si>
  <si>
    <t>GD01000951 - پارسیان</t>
  </si>
  <si>
    <t>GD01000950 - پارسیان</t>
  </si>
  <si>
    <t>GD01000955 - پارسیان</t>
  </si>
  <si>
    <t>GD01000956 - پارسیان</t>
  </si>
  <si>
    <t>GD01000953 - پارسیان</t>
  </si>
  <si>
    <t>GD01000983 - پارسیان</t>
  </si>
  <si>
    <t>GD01000972 - پارسیان</t>
  </si>
  <si>
    <t>GD01000958 - پارسیان</t>
  </si>
  <si>
    <t>GD01000959 - پارسیان</t>
  </si>
  <si>
    <t>GD01000957 - پارسیان</t>
  </si>
  <si>
    <t>GD02000792 - طنابی کنیک</t>
  </si>
  <si>
    <t>GD02000795 - قلب دفورمه</t>
  </si>
  <si>
    <t>GD02000805 - کف تراش</t>
  </si>
  <si>
    <t>GD02000822 - دلارین</t>
  </si>
  <si>
    <t>GD02000836 - مینی زیرگرم</t>
  </si>
  <si>
    <t>GD02000774 - امرال</t>
  </si>
  <si>
    <t>GD02000813 - چرم کارتیه</t>
  </si>
  <si>
    <t>GD02000814 - چرم کارتیه</t>
  </si>
  <si>
    <t>GD02000713 - مسترگلد</t>
  </si>
  <si>
    <t>GD02000711 - مسترگلد</t>
  </si>
  <si>
    <t>GD02000745 - امرال</t>
  </si>
  <si>
    <t>GD01000773 - پارسیان</t>
  </si>
  <si>
    <t>GD02000718 - اتنا</t>
  </si>
  <si>
    <t>GD02000720 - اتنا</t>
  </si>
  <si>
    <t>GD02000717 - آتنا</t>
  </si>
  <si>
    <t>GD01000771 - پارسیان</t>
  </si>
  <si>
    <t>GD02000719 - اتنا</t>
  </si>
  <si>
    <t>GD02000716 - آتنا</t>
  </si>
  <si>
    <t>GD02000715 - ارغوان</t>
  </si>
  <si>
    <t>GD01000761 - پارسیان</t>
  </si>
  <si>
    <t>GD01000759 - پارسیان</t>
  </si>
  <si>
    <t>GD02000736 - حلقه ای لوکس</t>
  </si>
  <si>
    <t>GD02000726 - گلداستار</t>
  </si>
  <si>
    <t>GD02000732 - هرمس دیپلمات</t>
  </si>
  <si>
    <t>GD01000755 - پارسیان</t>
  </si>
  <si>
    <t>GD01000754 - پارسیان</t>
  </si>
  <si>
    <t>GD01000753 - پارسیان</t>
  </si>
  <si>
    <t>GD01000752 - پارسیان</t>
  </si>
  <si>
    <t>GD02000748 - مینی</t>
  </si>
  <si>
    <t>GD02000749 - مینی</t>
  </si>
  <si>
    <t>GD02000747 - مینی</t>
  </si>
  <si>
    <t>GD02000690 - طنابی کنیک</t>
  </si>
  <si>
    <t>GD02000694 - طنابی کنیک</t>
  </si>
  <si>
    <t>GD02000689 - طنابی کنیک</t>
  </si>
  <si>
    <t>GD02000682 - حروف نیکزر</t>
  </si>
  <si>
    <t>GD02000686 - حروف نیکزر</t>
  </si>
  <si>
    <t>GD02000684 - حروف نیکزر</t>
  </si>
  <si>
    <t>GD02000680 - حروف نیکزر</t>
  </si>
  <si>
    <t>GD02000676 - حروف نیکزر</t>
  </si>
  <si>
    <t>GD02000681 - حروف نیکزر</t>
  </si>
  <si>
    <t>GD02000685 - حروف نیکزر</t>
  </si>
  <si>
    <t>GD02000679 - حروف نیکزر</t>
  </si>
  <si>
    <t>GD02000662 - حلقه ای لیزری</t>
  </si>
  <si>
    <t>GD02000658 - حلقه ای لیزری</t>
  </si>
  <si>
    <t>GD02000661 - حلقه ای لیزری</t>
  </si>
  <si>
    <t>GD02000673 - رینگی زاور</t>
  </si>
  <si>
    <t>GD02000672 - رینگی زاور</t>
  </si>
  <si>
    <t>GD02000698 - میخی نیکزر</t>
  </si>
  <si>
    <t>GD02000701 - میخی نیکزر</t>
  </si>
  <si>
    <t>GD02000700 - میخی نیکزر</t>
  </si>
  <si>
    <t>GD02000696 - میخی نیکزر</t>
  </si>
  <si>
    <t>GD02000697 - میخی نیکزر</t>
  </si>
  <si>
    <t>GD02000695 - میخی نیکزر</t>
  </si>
  <si>
    <t>GD01000705 - پارسیان</t>
  </si>
  <si>
    <t>GD03000202 - شهریار 6295</t>
  </si>
  <si>
    <t>GD02000653 - حروف نیکزر</t>
  </si>
  <si>
    <t>GD02000651 - حروف نیکزر</t>
  </si>
  <si>
    <t>GD02000649 - لاو صدف</t>
  </si>
  <si>
    <t>GD02000635 - پروفیلی</t>
  </si>
  <si>
    <t>GD02000637 - طنابی کنیک</t>
  </si>
  <si>
    <t>GD02000631 - مینیمال</t>
  </si>
  <si>
    <t>GD02000623 - مینیمال</t>
  </si>
  <si>
    <t>GD02000624 - مینیمال</t>
  </si>
  <si>
    <t>GD02000613 - مینیمال</t>
  </si>
  <si>
    <t>GD02000616 - مینیمال</t>
  </si>
  <si>
    <t>GD02000620 - مینیمال</t>
  </si>
  <si>
    <t>GD02000628 - مینیمال</t>
  </si>
  <si>
    <t>GD02000630 - مینیمال</t>
  </si>
  <si>
    <t>GD02000632 - مینیمال</t>
  </si>
  <si>
    <t>GD02000612 - مینیمال</t>
  </si>
  <si>
    <t>GD02000627 - مینیمال</t>
  </si>
  <si>
    <t>GD02000622 - مینیمال</t>
  </si>
  <si>
    <t>GD02000618 - مینیمال</t>
  </si>
  <si>
    <t>GD01000528 - 0/200 گرم</t>
  </si>
  <si>
    <t>0/200 گرم</t>
  </si>
  <si>
    <t>GD01000523 - 0/150 گرم</t>
  </si>
  <si>
    <t>0/150 گرم</t>
  </si>
  <si>
    <t>GD01000515 - 0/070 گرم</t>
  </si>
  <si>
    <t>0/070 گرم</t>
  </si>
  <si>
    <t>GD01000507 - 0/040 گرم</t>
  </si>
  <si>
    <t>0/040 گرم</t>
  </si>
  <si>
    <t>GD01000502 - 0/030 گرم</t>
  </si>
  <si>
    <t>0/030 گرم</t>
  </si>
  <si>
    <t>GD01000504 - 0/030 گرم</t>
  </si>
  <si>
    <t>GD01000505 - 0/030 گرم</t>
  </si>
  <si>
    <t>GD01000552 - 0/900 گرم</t>
  </si>
  <si>
    <t>0/900 گرم</t>
  </si>
  <si>
    <t>GD01000550 - 0/800 گرم</t>
  </si>
  <si>
    <t>0/800 گرم</t>
  </si>
  <si>
    <t>GD03000562 - میوکی</t>
  </si>
  <si>
    <t>GD03000598 - بافت مروارید</t>
  </si>
  <si>
    <t>GD03000595 - بافت مروارید</t>
  </si>
  <si>
    <t>GD03000588 - بافت مروارید</t>
  </si>
  <si>
    <t>GD03000586 - میوکی</t>
  </si>
  <si>
    <t>GD03000583 - میوکی</t>
  </si>
  <si>
    <t>GD03000582 - میوکی</t>
  </si>
  <si>
    <t>GD03000580 - میوکی</t>
  </si>
  <si>
    <t>GD03000579 - میوکی</t>
  </si>
  <si>
    <t>GD03000578 - میوکی</t>
  </si>
  <si>
    <t>GD03000564 - میوکی</t>
  </si>
  <si>
    <t>GD03000573 - میوکی</t>
  </si>
  <si>
    <t>GD03000575 - میوکی</t>
  </si>
  <si>
    <t>سکه عادی</t>
  </si>
  <si>
    <t>GD04000601 - نیم بهار</t>
  </si>
  <si>
    <t>GD03000324 - موجی</t>
  </si>
  <si>
    <t>GD03000328 - موجی</t>
  </si>
  <si>
    <t>GD03000336 - رولکس</t>
  </si>
  <si>
    <t>GD03000373 - کارتیه ظریف</t>
  </si>
  <si>
    <t>GD03000374 - کارتیه ظریف</t>
  </si>
  <si>
    <t>GD03000332 - فلامینگوفیگارو</t>
  </si>
  <si>
    <t>GD03000333 - فلامینگوفیگارو</t>
  </si>
  <si>
    <t>GD03000350 - قلبی</t>
  </si>
  <si>
    <t>GD03000364 - حلقه ای سوتی</t>
  </si>
  <si>
    <t>GD03000356 - بوتگاوقلب</t>
  </si>
  <si>
    <t>GD03000309 - ام جی زر</t>
  </si>
  <si>
    <t>GD03000306 - آتنا</t>
  </si>
  <si>
    <t>GD03000331 - شانل</t>
  </si>
  <si>
    <t>GD03000308 - فیوژن</t>
  </si>
  <si>
    <t>GD03000363 - حلقه ای سوتی</t>
  </si>
  <si>
    <t>GD03000337 - قلمدون</t>
  </si>
  <si>
    <t>GD03000375 - حروف نیکزر</t>
  </si>
  <si>
    <t>GD03000394 - فیگاروکنیک</t>
  </si>
  <si>
    <t>GD03000392 - رولو</t>
  </si>
  <si>
    <t>GD03000393 - رولو</t>
  </si>
  <si>
    <t>GD03000380 - حروف نیکزر</t>
  </si>
  <si>
    <t>GD03000389 - حلقه ای نرمال</t>
  </si>
  <si>
    <t>GD03000388 - حلقه ای نرمال</t>
  </si>
  <si>
    <t>GD03000408 - ظریف</t>
  </si>
  <si>
    <t>GD03000433 - ظریف</t>
  </si>
  <si>
    <t>GD03000417 - ظریف</t>
  </si>
  <si>
    <t>GD03000403 - ظریف</t>
  </si>
  <si>
    <t>GD03000415 - ظریف</t>
  </si>
  <si>
    <t>GD03000427 - ظریف</t>
  </si>
  <si>
    <t>GD03000435 - ظریف</t>
  </si>
  <si>
    <t>GD03000440 - فلامینگو</t>
  </si>
  <si>
    <t>GD03000442 - فلامینگو</t>
  </si>
  <si>
    <t>GD03000438 - فلامینگو</t>
  </si>
  <si>
    <t>GD03000444 - فلامینگوسوپرلایت</t>
  </si>
  <si>
    <t>GD03000447 - فلامینگوسوپرلایت</t>
  </si>
  <si>
    <t>GD03000449 - ون یکادپرسی</t>
  </si>
  <si>
    <t>GD03000450 - ون یکادپرسی</t>
  </si>
  <si>
    <t>GD03000451 - ون یکادپرسی</t>
  </si>
  <si>
    <t>GD03000454 - وان یکادلیزری</t>
  </si>
  <si>
    <t>GD03000455 - وان یکادلیزری</t>
  </si>
  <si>
    <t>GD03000456 - وان یکادلیزری</t>
  </si>
  <si>
    <t>GD03000457 - وان یکادلیزری</t>
  </si>
  <si>
    <t>GD03000458 - وان یکادلیزری</t>
  </si>
  <si>
    <t>GD03000466 - 1009 آریانا</t>
  </si>
  <si>
    <t>GD03000467 - آریانا1009</t>
  </si>
  <si>
    <t>GD03000471 - 1009 آریانا</t>
  </si>
  <si>
    <t>GD03000473 - سروین</t>
  </si>
  <si>
    <t>GD03000478 - سروین</t>
  </si>
  <si>
    <t>GD03000490 - رینگی لوکس</t>
  </si>
  <si>
    <t>GD03000465 - کارتیرسون پلاس</t>
  </si>
  <si>
    <t>GD03000479 - هرمس</t>
  </si>
  <si>
    <t>GD03000284 - ماهلین</t>
  </si>
  <si>
    <t>GD03000264 - البرنادو</t>
  </si>
  <si>
    <t>GD03000268 - ونکلیف گلداستار</t>
  </si>
  <si>
    <t>GD03000287 - شکوفه</t>
  </si>
  <si>
    <t>GD03000288 - شکوفه</t>
  </si>
  <si>
    <t>GD03000279 - پاپیون</t>
  </si>
  <si>
    <t>GD03000252 - نیکزر</t>
  </si>
  <si>
    <t>GD03000236 - پاندورا</t>
  </si>
  <si>
    <t>GD03000239 - نیکزر</t>
  </si>
  <si>
    <t>GD03000234 - پاندورا</t>
  </si>
  <si>
    <t>GD03000245 - نیکزر</t>
  </si>
  <si>
    <t>GD03000231 - پاندورا</t>
  </si>
  <si>
    <t>GD03000276 - پاپیون</t>
  </si>
  <si>
    <t>GD03000246 - نیکزر</t>
  </si>
  <si>
    <t>GD03000297 - مینیمال</t>
  </si>
  <si>
    <t>GD03000282 - ماهلین</t>
  </si>
  <si>
    <t>GD03000283 - ماهلین</t>
  </si>
  <si>
    <t>GD03000262 - البرنادو</t>
  </si>
  <si>
    <t>GD03000265 - البرنادو</t>
  </si>
  <si>
    <t>GD03000241 - نیکزر</t>
  </si>
  <si>
    <t>GD03000249 - نیکزر</t>
  </si>
  <si>
    <t>GD03000256 - داما</t>
  </si>
  <si>
    <t>پلاک</t>
  </si>
  <si>
    <t>GD03000294 - مینیمال</t>
  </si>
  <si>
    <t>GD03000293 - مینیمال</t>
  </si>
  <si>
    <t>GD03000292 - مینیمال</t>
  </si>
  <si>
    <t>GD03000300 - مینیمال</t>
  </si>
  <si>
    <t>GD03000298 - مینیمال</t>
  </si>
  <si>
    <t>GD03000295 - مینیمال</t>
  </si>
  <si>
    <t>GD03000278 - پاپیون</t>
  </si>
  <si>
    <t>GD03000248 - نیکزر</t>
  </si>
  <si>
    <t>GD03000251 - نیکزر</t>
  </si>
  <si>
    <t>GD03000261 - البرنادو</t>
  </si>
  <si>
    <t>GD03000232 - پاندورا</t>
  </si>
  <si>
    <t>GD03000253 - نیکزر</t>
  </si>
  <si>
    <t>GD03000158 - برلیان 1579</t>
  </si>
  <si>
    <t>GD03000157 - برلیان 2981</t>
  </si>
  <si>
    <t>GD03000142 - آریانا 1804</t>
  </si>
  <si>
    <t>GD03000027 - حروف نیکزر 5629</t>
  </si>
  <si>
    <t>GD03000065 - نایت 5379</t>
  </si>
  <si>
    <t>GD03000069 - نیکزر 5600</t>
  </si>
  <si>
    <t>GD03000026 - حروف نیکزر 5632</t>
  </si>
  <si>
    <t>GD03000022 - حروف کیازر 4269</t>
  </si>
  <si>
    <t>GD03000061 - نیکزر 6298</t>
  </si>
  <si>
    <t>GD03000030 - ونکلیف 6040</t>
  </si>
  <si>
    <t>GD03000156 - آوا 17621</t>
  </si>
  <si>
    <t>GD03000151 - ای زد 6201</t>
  </si>
  <si>
    <t>GD03000185 - تیفانی 5018</t>
  </si>
  <si>
    <t>GD03000160 - قلب تیفانی6184</t>
  </si>
  <si>
    <t>GD03000018 - ونکلیف 5899</t>
  </si>
  <si>
    <t>GD03000023 - حروف کیازر 5956</t>
  </si>
  <si>
    <t>GD03000017 - ونکلیف 6525</t>
  </si>
  <si>
    <t>GD03000015 - ونکلیف 6524</t>
  </si>
  <si>
    <t>GD03000020 - چشم و نظر 2358</t>
  </si>
  <si>
    <t>GD03000079 - نیکزر 6303</t>
  </si>
  <si>
    <t>GD03000186 - ماکان گلد 6177</t>
  </si>
  <si>
    <t>پابند</t>
  </si>
  <si>
    <t>GD03000149 - ماکان گلد 6173</t>
  </si>
  <si>
    <t>GD03000152 - ماکان گلد 6174</t>
  </si>
  <si>
    <t>GD03000187 - بل مینیمال 3908</t>
  </si>
  <si>
    <t>GD03000154 - آوا 3535</t>
  </si>
  <si>
    <t>GD03000155 - آوا 3544</t>
  </si>
  <si>
    <t>GD03000078 - تابان 5053</t>
  </si>
  <si>
    <t>GD03000072 - مینیمال 6980</t>
  </si>
  <si>
    <t>GD03000093 - فلامینگو 6478</t>
  </si>
  <si>
    <t>GD03000153 - ریحان هندسی 5988</t>
  </si>
  <si>
    <t>GD03000109 - آریانا 1797</t>
  </si>
  <si>
    <t>GD03000058 - بنی 5796</t>
  </si>
  <si>
    <t>GD03000063 - االبرنادو 5466</t>
  </si>
  <si>
    <t>GD03000176 - آریانا 1798</t>
  </si>
  <si>
    <t>GD03000114 - تیفانی 5287</t>
  </si>
  <si>
    <t>GD03000113 - تیفانی 5286</t>
  </si>
  <si>
    <t>GD03000107 - کارتیه 5071</t>
  </si>
  <si>
    <t>GD03000025 - حروف کیازر 5960</t>
  </si>
  <si>
    <t>GD03000028 - نیکزر 5930</t>
  </si>
  <si>
    <t>GD03000024 - حروف کیازر 5839</t>
  </si>
  <si>
    <t>GD03000166 - ارسا 5953</t>
  </si>
  <si>
    <t>GD03000190 - ماه 2750</t>
  </si>
  <si>
    <t>GD03000180 - نیکزر 5604</t>
  </si>
  <si>
    <t>GD03000181 - نیکزر 5891</t>
  </si>
  <si>
    <t>GD03000182 - نیکزر 5882</t>
  </si>
  <si>
    <t>GD03000177 - نیکزر 6306</t>
  </si>
  <si>
    <t>GD03000146 - ماکان گلد 6175</t>
  </si>
  <si>
    <t>GD03000019 - چشم 1707</t>
  </si>
  <si>
    <t>GD03000031 - مینا 1694</t>
  </si>
  <si>
    <t>GD03000021 - ونکلیف گلداستار 6042</t>
  </si>
  <si>
    <t>GD03000014 - ونکلیف 5948</t>
  </si>
  <si>
    <t>GD03000075 - مینیمال 6977</t>
  </si>
  <si>
    <t>GD03000073 - مینیمال 6978</t>
  </si>
  <si>
    <t>GD03000170 - سام 6659</t>
  </si>
  <si>
    <t>GD03000171 - تنیسی تراش 6629</t>
  </si>
  <si>
    <t>GD03000167 - رولکس تراش 6334</t>
  </si>
  <si>
    <t>GD03000172 - تنیسی تراش 6335</t>
  </si>
  <si>
    <t>GD03000046 - استار300/ 17056</t>
  </si>
  <si>
    <t>GD03000087 - فلامینگو 6469</t>
  </si>
  <si>
    <t>GD03000090 - فلامینگو 6459</t>
  </si>
  <si>
    <t>GD03000060 - رولکس سلین 5904</t>
  </si>
  <si>
    <t>GD03000139 - کارلو 5611</t>
  </si>
  <si>
    <t>GD03000068 - ویولت 5331</t>
  </si>
  <si>
    <t>GD03000032 - استار300/ 17038</t>
  </si>
  <si>
    <t>GD03000050 - استار300/ 17055</t>
  </si>
  <si>
    <t>GD03000042 - استار300/ 17057</t>
  </si>
  <si>
    <t>GD03000038 - استار300/ 17034</t>
  </si>
  <si>
    <t>GD03000212 - طوق مروارید 2340</t>
  </si>
  <si>
    <t>GD03000123 - مینیمال 5670</t>
  </si>
  <si>
    <t>GD03000039 - استار300/ 17050</t>
  </si>
  <si>
    <t>GD03000036 - استار300/ 17060</t>
  </si>
  <si>
    <t>GD03000080 - نیکزر 6526</t>
  </si>
  <si>
    <t>GD03000048 - استار300/ 17054</t>
  </si>
  <si>
    <t>GD03000043 - استار300/ 17053</t>
  </si>
  <si>
    <t>GD03000049 - استار300/ 17059</t>
  </si>
  <si>
    <t>GD03000045 - استار300/ 17058</t>
  </si>
  <si>
    <t>GD03000134 - ام جی 1378</t>
  </si>
  <si>
    <t>GD03000037 - استار300/ 17037</t>
  </si>
  <si>
    <t>GD03000074 - مینیمال 6976</t>
  </si>
  <si>
    <t>GD03000195 - نیکزر 5244</t>
  </si>
  <si>
    <t>GD03000040 - استار300/ 17052</t>
  </si>
  <si>
    <t>GD03000126 - تیفانی 6495</t>
  </si>
  <si>
    <t>GD03000121 - کارتیه 4275</t>
  </si>
  <si>
    <t>GD03000071 - نیکزر 5888</t>
  </si>
  <si>
    <t>GD03000051 - استار300/ 17036</t>
  </si>
  <si>
    <t>GD03000096 - لایت 6905</t>
  </si>
  <si>
    <t>GD03000094 - لایت 6648</t>
  </si>
  <si>
    <t>GD03000116 - تیفانی 5285</t>
  </si>
  <si>
    <t>GD03000057 - قلب 2737</t>
  </si>
  <si>
    <t>GD03000054 - هرینگبون 16565</t>
  </si>
  <si>
    <t>GD03000196 - سان گلد 17008</t>
  </si>
  <si>
    <t>GD03000198 - تراش نایس 6141</t>
  </si>
  <si>
    <t>توضیحات :</t>
  </si>
  <si>
    <t>ثبت و کنترل شماره لیبل</t>
  </si>
  <si>
    <t>شماره لیبل را در ستون آبی وارد یا اسکن کنید؛ وضعیت به‌صورت خودکار نمایش داده می‌شود.</t>
  </si>
  <si>
    <t>خلاصه</t>
  </si>
  <si>
    <t>تعداد</t>
  </si>
  <si>
    <t>کل لیبل‌های ثبت‌شده</t>
  </si>
  <si>
    <t>موجود</t>
  </si>
  <si>
    <t>مغایرت</t>
  </si>
  <si>
    <t>شماره لیبل</t>
  </si>
  <si>
    <t>نتیجه جستجو</t>
  </si>
  <si>
    <t>وضعیت</t>
  </si>
  <si>
    <t>گزارش مغایرت شماره لیبل</t>
  </si>
  <si>
    <t>این فهرست به‌صورت خودکار از شماره‌هایی که در موجودی یافت نمی‌شوند، تشکیل می‌شود.</t>
  </si>
  <si>
    <t>شماره لیبل مغایرت</t>
  </si>
  <si>
    <t>GD02002967</t>
  </si>
  <si>
    <t>02002967</t>
  </si>
  <si>
    <t>پنجره جستجو و ثبت لیبل</t>
  </si>
  <si>
    <t>روی دکمه زیر کلیک کرده و شماره لیبل را وارد کنید</t>
  </si>
  <si>
    <t>ردیف آماده ثبت</t>
  </si>
  <si>
    <t>پس از ورود، نتیجه جستجو در همان ردیف ثبت می‌شود</t>
  </si>
  <si>
    <t>00200</t>
  </si>
  <si>
    <t>003000</t>
  </si>
  <si>
    <t>طرح نرم‌افزار ویندوز مغایرت‌گیری موجودی و لیبل</t>
  </si>
  <si>
    <t>نسخه پیشنهادی 1.0 | طراحی بر اساس فایل اکسل فعلی | تاریخ طراحی: 1405/07/15</t>
  </si>
  <si>
    <t>هدف: بارگذاری فایل Excel موجودی، تشخیص خودکار ستون لیبل، ثبت لیبل با بارکدخوان یا فایل، مغایرت‌گیری و خروجی Excel</t>
  </si>
  <si>
    <t>نوع برنامه</t>
  </si>
  <si>
    <t>Windows Desktop</t>
  </si>
  <si>
    <t>روش ورود</t>
  </si>
  <si>
    <t>اسکن تکی + Excel</t>
  </si>
  <si>
    <t>تشخیص ستون</t>
  </si>
  <si>
    <t>خودکار + تأیید کاربر</t>
  </si>
  <si>
    <t>ذخیره‌سازی</t>
  </si>
  <si>
    <t>SQLite محلی</t>
  </si>
  <si>
    <t>گردش کار اصلی نرم‌افزار</t>
  </si>
  <si>
    <t>مرحله</t>
  </si>
  <si>
    <t>عملکرد</t>
  </si>
  <si>
    <t>ایجاد پروژه شمارش جدید و انتخاب نام/تاریخ پروژه</t>
  </si>
  <si>
    <t>بارگذاری فایل Excel موجودی (.xlsx یا .xls)</t>
  </si>
  <si>
    <t>خواندن سرستون‌ها و تشخیص خودکار ستون دارای کد/محصول/لیبل</t>
  </si>
  <si>
    <t>نمایش نمونه 10 ردیف و دریافت تأیید ستون تشخیص‌داده‌شده</t>
  </si>
  <si>
    <t>ثبت لیبل با بارکدخوان/کیبورد یا بارگذاری فایل لیبل‌ها</t>
  </si>
  <si>
    <t>مقایسه لحظه‌ای و نمایش موجود، مغایرت، تکراری و شمارش‌نشده</t>
  </si>
  <si>
    <t>ذخیره پروژه و خروجی گرفتن به Excel</t>
  </si>
  <si>
    <t>صفحه</t>
  </si>
  <si>
    <t>اجزای اصلی</t>
  </si>
  <si>
    <t>عملیات</t>
  </si>
  <si>
    <t>خانه</t>
  </si>
  <si>
    <t>پروژه جدید، پروژه‌های قبلی</t>
  </si>
  <si>
    <t>ایجاد، بازکردن، حذف نسخه پشتیبان</t>
  </si>
  <si>
    <t>بارگذاری موجودی</t>
  </si>
  <si>
    <t>انتخاب فایل، نام شیت، تشخیص ستون</t>
  </si>
  <si>
    <t>پیش‌نمایش و تأیید</t>
  </si>
  <si>
    <t>شمارش تکی</t>
  </si>
  <si>
    <t>کادر بزرگ اسکن، آخرین نتیجه، آمار</t>
  </si>
  <si>
    <t>ثبت با Enter و پخش هشدار</t>
  </si>
  <si>
    <t>ورود گروهی</t>
  </si>
  <si>
    <t>انتخاب Excel لیبل‌ها و ستون کد</t>
  </si>
  <si>
    <t>پاک‌سازی و ورود دسته‌ای</t>
  </si>
  <si>
    <t>نتایج</t>
  </si>
  <si>
    <t>تب موجود، مغایرت، تکراری، شمارش‌نشده</t>
  </si>
  <si>
    <t>جستجو، فیلتر و مرتب‌سازی</t>
  </si>
  <si>
    <t>گزارش</t>
  </si>
  <si>
    <t>خلاصه آماری و جزئیات</t>
  </si>
  <si>
    <t>خروجی Excel و چاپ</t>
  </si>
  <si>
    <t>تنظیمات</t>
  </si>
  <si>
    <t>الگوی کد، حذف پیشوند، صدا، رنگ</t>
  </si>
  <si>
    <t>ذخیره تنظیمات پیش‌فرض</t>
  </si>
  <si>
    <t>منطق تشخیص خودکار ستون لیبل</t>
  </si>
  <si>
    <t>اولویت</t>
  </si>
  <si>
    <t>روش تشخیص</t>
  </si>
  <si>
    <t>امتیاز پیشنهادی</t>
  </si>
  <si>
    <t>نام ستون شامل لیبل، کد، محصول، barcode یا item code</t>
  </si>
  <si>
    <t>درصد بالای مقادیر یکتا در ستون</t>
  </si>
  <si>
    <t>وجود الگوی حروف و عدد مانند GD02002967</t>
  </si>
  <si>
    <t>وجود جداکننده و کد در ابتدای متن مانند کد - نام محصول</t>
  </si>
  <si>
    <t>کنترل</t>
  </si>
  <si>
    <t>نمایش نمونه و تأیید دستی کاربر قبل از شروع</t>
  </si>
  <si>
    <t>اجباری</t>
  </si>
  <si>
    <t>قاعده نرمال‌سازی</t>
  </si>
  <si>
    <t>نمونه ورودی</t>
  </si>
  <si>
    <t>مقدار مقایسه</t>
  </si>
  <si>
    <t>رفتار</t>
  </si>
  <si>
    <t>تنظیم‌پذیر</t>
  </si>
  <si>
    <t>حذف فاصله ابتدا/انتها</t>
  </si>
  <si>
    <t xml:space="preserve"> GD02002967 </t>
  </si>
  <si>
    <t>خودکار</t>
  </si>
  <si>
    <t>خیر</t>
  </si>
  <si>
    <t>فعال</t>
  </si>
  <si>
    <t>حذف متن بعد از خط تیره</t>
  </si>
  <si>
    <t>بله</t>
  </si>
  <si>
    <t>یکسان‌سازی حروف</t>
  </si>
  <si>
    <t>gd02002967</t>
  </si>
  <si>
    <t>پشتیبانی بدون پیشوند</t>
  </si>
  <si>
    <t>با تنظیم GD</t>
  </si>
  <si>
    <t>حفظ صفر ابتدایی</t>
  </si>
  <si>
    <t>متن</t>
  </si>
  <si>
    <t>رد مقدار خالی</t>
  </si>
  <si>
    <t>ثبت نمی‌شود</t>
  </si>
  <si>
    <t>هشدار</t>
  </si>
  <si>
    <t>وضعیت‌های مغایرت‌گیری</t>
  </si>
  <si>
    <t>تعریف</t>
  </si>
  <si>
    <t>لیبل ثبت‌شده در فایل موجودی وجود دارد</t>
  </si>
  <si>
    <t>لیبل ثبت‌شده در فایل موجودی پیدا نشد</t>
  </si>
  <si>
    <t>تکراری</t>
  </si>
  <si>
    <t>یک لیبل بیش از یک بار اسکن یا وارد شده است</t>
  </si>
  <si>
    <t>شمارش‌نشده</t>
  </si>
  <si>
    <t>کالای موجود در فایل موجودی هنوز اسکن نشده است</t>
  </si>
  <si>
    <t>کد نامعتبر</t>
  </si>
  <si>
    <t>مقدار با قواعد حداقل طول یا الگوی تعیین‌شده سازگار نیست</t>
  </si>
  <si>
    <t>رفتار رابط</t>
  </si>
  <si>
    <t>صدای پیشنهادی</t>
  </si>
  <si>
    <t>سبز</t>
  </si>
  <si>
    <t>نمایش مشخصات کالا و افزایش شمارنده موجود</t>
  </si>
  <si>
    <t>تأیید کوتاه</t>
  </si>
  <si>
    <t>قرمز</t>
  </si>
  <si>
    <t>ثبت در لیست مغایرت و نمایش هشدار</t>
  </si>
  <si>
    <t>نارنجی</t>
  </si>
  <si>
    <t>عدم افزایش موجود و ثبت دفعات</t>
  </si>
  <si>
    <t>هشدار دوبل</t>
  </si>
  <si>
    <t>خاکستری</t>
  </si>
  <si>
    <t>فقط در گزارش نهایی</t>
  </si>
  <si>
    <t>بدون صدا</t>
  </si>
  <si>
    <t>قرمز تیره</t>
  </si>
  <si>
    <t>عدم ثبت تا تأیید یا اصلاح</t>
  </si>
  <si>
    <t>ساختار داده و فناوری پیشنهادی</t>
  </si>
  <si>
    <t>بخش</t>
  </si>
  <si>
    <t>پیشنهاد</t>
  </si>
  <si>
    <t>زبان</t>
  </si>
  <si>
    <t>Python 3.12</t>
  </si>
  <si>
    <t>رابط کاربری</t>
  </si>
  <si>
    <t>PySide6 (Qt) با پشتیبانی کامل فارسی و RTL</t>
  </si>
  <si>
    <t>خواندن Excel</t>
  </si>
  <si>
    <t>pandas + openpyxl</t>
  </si>
  <si>
    <t>پایگاه داده</t>
  </si>
  <si>
    <t>SQLite برای ذخیره پروژه‌ها و اسکن‌ها</t>
  </si>
  <si>
    <t>خروجی</t>
  </si>
  <si>
    <t>openpyxl برای Excel قالب‌بندی‌شده</t>
  </si>
  <si>
    <t>بسته نصب</t>
  </si>
  <si>
    <t>PyInstaller برای تولید فایل Setup/EXE</t>
  </si>
  <si>
    <t>سیستم عامل</t>
  </si>
  <si>
    <t>Windows 10 و Windows 11 - نسخه 64 بیت</t>
  </si>
  <si>
    <t>جدول داده</t>
  </si>
  <si>
    <t>فیلدهای کلیدی</t>
  </si>
  <si>
    <t>کلید</t>
  </si>
  <si>
    <t>منبع</t>
  </si>
  <si>
    <t>قابل ویرایش</t>
  </si>
  <si>
    <t>حذف</t>
  </si>
  <si>
    <t>یادداشت</t>
  </si>
  <si>
    <t>projects</t>
  </si>
  <si>
    <t>id, name, created_at, inventory_file</t>
  </si>
  <si>
    <t>id</t>
  </si>
  <si>
    <t>برنامه</t>
  </si>
  <si>
    <t>اطلاعات پروژه</t>
  </si>
  <si>
    <t>inventory</t>
  </si>
  <si>
    <t>project_id, label, raw_value, row_data</t>
  </si>
  <si>
    <t>project_id+label</t>
  </si>
  <si>
    <t>Excel موجودی</t>
  </si>
  <si>
    <t>با پروژه</t>
  </si>
  <si>
    <t>کلیه ستون‌ها در JSON</t>
  </si>
  <si>
    <t>scans</t>
  </si>
  <si>
    <t>project_id, label, scanned_at, source, status</t>
  </si>
  <si>
    <t>اسکن/Excel</t>
  </si>
  <si>
    <t>ثبت تاریخ و منبع</t>
  </si>
  <si>
    <t>settings</t>
  </si>
  <si>
    <t>prefix, delimiter, min_length, sound</t>
  </si>
  <si>
    <t>key</t>
  </si>
  <si>
    <t>کاربر</t>
  </si>
  <si>
    <t>بازنشانی</t>
  </si>
  <si>
    <t>تنظیمات عمومی</t>
  </si>
  <si>
    <t>imports</t>
  </si>
  <si>
    <t>file_name, sheet_name, column_name, row_count</t>
  </si>
  <si>
    <t>فایل</t>
  </si>
  <si>
    <t>سوابق بارگذاری</t>
  </si>
  <si>
    <t>خروجی Excel نرم‌افزار</t>
  </si>
  <si>
    <t>شیت خروجی</t>
  </si>
  <si>
    <t>محتوا</t>
  </si>
  <si>
    <t>قالب</t>
  </si>
  <si>
    <t>تعداد موجودی، اسکن‌شده، موجود، مغایرت، تکراری و شمارش‌نشده</t>
  </si>
  <si>
    <t>کارت آماری و نمودار ساده</t>
  </si>
  <si>
    <t>رکوردهای فایل موجودی که اسکن شده‌اند</t>
  </si>
  <si>
    <t>لیبل‌های واردشده که در موجودی نیستند</t>
  </si>
  <si>
    <t>لیبل، تعداد دفعات و زمان‌های ثبت</t>
  </si>
  <si>
    <t>کالاهای موجودی که اسکن نشده‌اند</t>
  </si>
  <si>
    <t>ستون خروجی مغایرت</t>
  </si>
  <si>
    <t>نوع</t>
  </si>
  <si>
    <t>نمونه</t>
  </si>
  <si>
    <t>توضیح</t>
  </si>
  <si>
    <t>اسکن</t>
  </si>
  <si>
    <t>صفر ابتدایی حفظ شود</t>
  </si>
  <si>
    <t>کد نرمال‌شده</t>
  </si>
  <si>
    <t>پردازش</t>
  </si>
  <si>
    <t>کد مورد مقایسه</t>
  </si>
  <si>
    <t>تاریخ و ساعت</t>
  </si>
  <si>
    <t>تاریخ</t>
  </si>
  <si>
    <t>1405/07/15 17:45</t>
  </si>
  <si>
    <t>سیستم</t>
  </si>
  <si>
    <t>زمان ثبت</t>
  </si>
  <si>
    <t>منبع ثبت</t>
  </si>
  <si>
    <t>بارکدخوان</t>
  </si>
  <si>
    <t>اسکن یا فایل</t>
  </si>
  <si>
    <t>دفعات تکرار</t>
  </si>
  <si>
    <t>عدد</t>
  </si>
  <si>
    <t>محاسبه</t>
  </si>
  <si>
    <t>کنترل تکراری</t>
  </si>
  <si>
    <t>توضیحات</t>
  </si>
  <si>
    <t>نیازمند بررسی</t>
  </si>
  <si>
    <t>یادداشت دستی</t>
  </si>
  <si>
    <t>معیارهای پذیرش و تست تحویل</t>
  </si>
  <si>
    <t>تست</t>
  </si>
  <si>
    <t>نتیجه مورد انتظار</t>
  </si>
  <si>
    <t>بارگذاری فایل فعلی موجودی</t>
  </si>
  <si>
    <t>ستون محصول تشخیص داده شود و 838 ردیف داده خوانده شود</t>
  </si>
  <si>
    <t>اسکن GD02002967</t>
  </si>
  <si>
    <t>وضعیت موجود و نمایش اطلاعات کالای میرو</t>
  </si>
  <si>
    <t>اسکن 02002967 با پیشوند GD</t>
  </si>
  <si>
    <t>وضعیت موجود طبق تنظیمات پیشوند</t>
  </si>
  <si>
    <t>اسکن کد ناشناخته</t>
  </si>
  <si>
    <t>ثبت مغایرت با رنگ قرمز</t>
  </si>
  <si>
    <t>اسکن مجدد کد قبلی</t>
  </si>
  <si>
    <t>وضعیت تکراری و افزایش دفعات، بدون افزایش موجود</t>
  </si>
  <si>
    <t>بارگذاری فایل لیبل‌ها</t>
  </si>
  <si>
    <t>ورود گروهی با گزارش ردیف‌های نامعتبر</t>
  </si>
  <si>
    <t>بستن و بازکردن برنامه</t>
  </si>
  <si>
    <t>پروژه و اسکن‌ها بدون از دست رفتن بازیابی شوند</t>
  </si>
  <si>
    <t>خروجی Excel</t>
  </si>
  <si>
    <t>پنج شیت گزارش با صفرهای ابتدایی و رنگ صحیح ایجاد شود</t>
  </si>
  <si>
    <t>فایل بزرگ</t>
  </si>
  <si>
    <t>حداقل 100 هزار ردیف بدون توقف رابط پردازش شود</t>
  </si>
  <si>
    <t>فاز</t>
  </si>
  <si>
    <t>تحویل</t>
  </si>
  <si>
    <t>زمان تقریبی</t>
  </si>
  <si>
    <t>وابستگی</t>
  </si>
  <si>
    <t>تأیید</t>
  </si>
  <si>
    <t>نسخه پایه: بارگذاری، اسکن تکی، مغایرت و خروجی</t>
  </si>
  <si>
    <t>ضروری</t>
  </si>
  <si>
    <t>3 تا 5 روز</t>
  </si>
  <si>
    <t>نمونه فایل‌ها</t>
  </si>
  <si>
    <t>MVP</t>
  </si>
  <si>
    <t>ورود گروهی، تکراری، شمارش‌نشده و ذخیره پروژه</t>
  </si>
  <si>
    <t>2 تا 3 روز</t>
  </si>
  <si>
    <t>فاز 1</t>
  </si>
  <si>
    <t>نسخه عملیاتی</t>
  </si>
  <si>
    <t>تنظیمات پیشرفته و گزارش چاپی</t>
  </si>
  <si>
    <t>متوسط</t>
  </si>
  <si>
    <t>1 تا 2 روز</t>
  </si>
  <si>
    <t>فاز 2</t>
  </si>
  <si>
    <t>بهبود</t>
  </si>
  <si>
    <t>ساخت Setup، تست ویندوز و راهنمای کاربر</t>
  </si>
  <si>
    <t>فاز 3</t>
  </si>
  <si>
    <t>نهایی</t>
  </si>
  <si>
    <t>انتشار</t>
  </si>
  <si>
    <t>کل</t>
  </si>
  <si>
    <t>نسخه کامل ویندوز</t>
  </si>
  <si>
    <t>—</t>
  </si>
  <si>
    <t>7 تا 12 روز کاری</t>
  </si>
  <si>
    <t>برآورد توسعه</t>
  </si>
  <si>
    <t>پیش‌فرض‌های تأییدشده برای توسعه</t>
  </si>
  <si>
    <t>موضوع</t>
  </si>
  <si>
    <t>تصمیم</t>
  </si>
  <si>
    <t>ویندوز مستقل</t>
  </si>
  <si>
    <t>ورود اطلاعات</t>
  </si>
  <si>
    <t>اسکن تکی و بارگذاری فایل Excel</t>
  </si>
  <si>
    <t>خودکار همراه با تأیید دستی</t>
  </si>
  <si>
    <t>زبان رابط</t>
  </si>
  <si>
    <t>فارسی و راست‌چین</t>
  </si>
  <si>
    <t>ذخیره اطلاعات</t>
  </si>
  <si>
    <t>کاملاً محلی و بدون نیاز به اینترنت</t>
  </si>
  <si>
    <t>فرمت خروجی</t>
  </si>
  <si>
    <t>Excel با حفظ کلیه اطلاعات موجودی</t>
  </si>
  <si>
    <t>سازگار با دستگاه‌های Keyboard Wedge و کلید Enter</t>
  </si>
  <si>
    <t>راهنمای ساخت فایل اجرایی و نصب‌شونده ویندوز</t>
  </si>
  <si>
    <t>اقدام</t>
  </si>
  <si>
    <t>نصب Python نسخه 64 بیتی و فعال‌کردن گزینه افزودن Python به PATH</t>
  </si>
  <si>
    <t>ساخت پوشه پروژه و محیط مجازی مستقل برای جلوگیری از تداخل کتابخانه‌ها</t>
  </si>
  <si>
    <t>نصب کتابخانه‌های رابط کاربری، Excel، پایگاه داده و PyInstaller</t>
  </si>
  <si>
    <t>اجرای مستقیم فایل اصلی و تست بارگذاری موجودی، اسکن و خروجی</t>
  </si>
  <si>
    <t>ساخت اولیه به‌صورت پوشه‌ای برای عیب‌یابی سریع فایل‌ها و وابستگی‌ها</t>
  </si>
  <si>
    <t>ساخت نسخه تک‌فایلی بدون پنجره کنسول و همراه آیکن برنامه</t>
  </si>
  <si>
    <t>تست EXE روی یک کامپیوتر ویندوزی که Python روی آن نصب نیست</t>
  </si>
  <si>
    <t>ساخت اسکریپت نصب با Inno Setup شامل میانبر دسکتاپ و منوی Start</t>
  </si>
  <si>
    <t>کامپایل اسکریپت نصب و تحویل فایل Setup نهایی</t>
  </si>
  <si>
    <t>کنترل تحویل</t>
  </si>
  <si>
    <t>شرح</t>
  </si>
  <si>
    <t>مسئول</t>
  </si>
  <si>
    <t>شروع برنامه</t>
  </si>
  <si>
    <t>بدون خطا و بدون نمایش CMD</t>
  </si>
  <si>
    <t>توسعه</t>
  </si>
  <si>
    <t>باز</t>
  </si>
  <si>
    <t>بارگذاری Excel</t>
  </si>
  <si>
    <t>پشتیبانی xlsx و انتخاب شیت</t>
  </si>
  <si>
    <t>تمام کدها به‌صورت متن خوانده شوند</t>
  </si>
  <si>
    <t>ذخیره محلی</t>
  </si>
  <si>
    <t>دیتابیس در پوشه اطلاعات کاربر ذخیره شود</t>
  </si>
  <si>
    <t>دسترسی فایل</t>
  </si>
  <si>
    <t>عدم نوشتن دیتابیس داخل Program Files</t>
  </si>
  <si>
    <t>فایل خروجی در مسیر انتخابی کاربر ساخته شود</t>
  </si>
  <si>
    <t>حذف برنامه</t>
  </si>
  <si>
    <t>Uninstall بدون حذف پروژه‌های کاربر</t>
  </si>
  <si>
    <t>نسخه ویندوز</t>
  </si>
  <si>
    <t>تست روی Windows 10 و Windows 11 نسخه 64 بیتی</t>
  </si>
  <si>
    <t>فایل نهایی</t>
  </si>
  <si>
    <t>Setup امضاشده یا دارای Hash تحویل شود</t>
  </si>
  <si>
    <t>پیشنهادی</t>
  </si>
  <si>
    <t>ساختار پوشه پیشنهادی پروژه</t>
  </si>
  <si>
    <t>مسیر</t>
  </si>
  <si>
    <t>کاربرد</t>
  </si>
  <si>
    <t>app/main.py</t>
  </si>
  <si>
    <t>فایل شروع برنامه</t>
  </si>
  <si>
    <t>app/ui</t>
  </si>
  <si>
    <t>صفحات و فرم‌های رابط کاربری</t>
  </si>
  <si>
    <t>app/services</t>
  </si>
  <si>
    <t>خواندن Excel، مغایرت‌گیری و خروجی</t>
  </si>
  <si>
    <t>assets</t>
  </si>
  <si>
    <t>آیکن، فونت و فایل‌های ظاهری</t>
  </si>
  <si>
    <t>installer</t>
  </si>
  <si>
    <t>فایل تنظیمات ساخت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</si>
</sst>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B Yekan"/>
      <family val="2"/>
    </font>
    <font>
      <sz val="11"/>
      <color theme="1"/>
      <name val="B Yek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 Yekan"/>
      <family val="2"/>
    </font>
    <font>
      <b/>
      <sz val="13"/>
      <color theme="3"/>
      <name val="B Yekan"/>
      <family val="2"/>
    </font>
    <font>
      <b/>
      <sz val="11"/>
      <color theme="3"/>
      <name val="B Yekan"/>
      <family val="2"/>
    </font>
    <font>
      <sz val="11"/>
      <color rgb="FF006100"/>
      <name val="B Yekan"/>
      <family val="2"/>
    </font>
    <font>
      <sz val="11"/>
      <color rgb="FF9C0006"/>
      <name val="B Yekan"/>
      <family val="2"/>
    </font>
    <font>
      <sz val="11"/>
      <color rgb="FF9C5700"/>
      <name val="B Yekan"/>
      <family val="2"/>
    </font>
    <font>
      <sz val="11"/>
      <color rgb="FF3F3F76"/>
      <name val="B Yekan"/>
      <family val="2"/>
    </font>
    <font>
      <b/>
      <sz val="11"/>
      <color rgb="FF3F3F3F"/>
      <name val="B Yekan"/>
      <family val="2"/>
    </font>
    <font>
      <b/>
      <sz val="11"/>
      <color rgb="FFFA7D00"/>
      <name val="B Yekan"/>
      <family val="2"/>
    </font>
    <font>
      <sz val="11"/>
      <color rgb="FFFA7D00"/>
      <name val="B Yekan"/>
      <family val="2"/>
    </font>
    <font>
      <b/>
      <sz val="11"/>
      <color theme="0"/>
      <name val="B Yekan"/>
      <family val="2"/>
    </font>
    <font>
      <sz val="11"/>
      <color rgb="FFFF0000"/>
      <name val="B Yekan"/>
      <family val="2"/>
    </font>
    <font>
      <i/>
      <sz val="11"/>
      <color rgb="FF7F7F7F"/>
      <name val="B Yekan"/>
      <family val="2"/>
    </font>
    <font>
      <b/>
      <sz val="11"/>
      <color theme="1"/>
      <name val="B Yekan"/>
      <family val="2"/>
    </font>
    <font>
      <sz val="11"/>
      <color theme="0"/>
      <name val="B Yekan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u/>
      <sz val="11"/>
      <color theme="10"/>
      <name val="B Yekan"/>
      <family val="2"/>
    </font>
    <font>
      <b/>
      <sz val="11"/>
      <color rgb="FFFFFFFF"/>
      <name val="B Yekan"/>
      <family val="2"/>
    </font>
    <font>
      <b/>
      <sz val="16"/>
      <color rgb="FFFFFFFF"/>
      <name val="B Yekan"/>
      <family val="2"/>
    </font>
    <font>
      <sz val="11"/>
      <color rgb="FF0070C0"/>
      <name val="B Yekan"/>
      <family val="2"/>
    </font>
    <font>
      <b/>
      <sz val="10"/>
      <color rgb="FFFFFFFF"/>
      <name val="Arial Unicode MS"/>
    </font>
    <font>
      <b/>
      <sz val="13"/>
      <color rgb="FFFFFFFF"/>
      <name val="B Yekan"/>
      <family val="2"/>
    </font>
    <font>
      <b/>
      <sz val="12"/>
      <color rgb="FFFFFFFF"/>
      <name val="B Yekan"/>
      <family val="2"/>
    </font>
    <font>
      <b/>
      <sz val="10"/>
      <color rgb="FFFFFFFF"/>
      <name val="B Yekan"/>
      <charset val="178"/>
    </font>
    <font>
      <sz val="10"/>
      <color theme="1"/>
      <name val="B Yekan"/>
      <charset val="178"/>
    </font>
    <font>
      <b/>
      <sz val="10"/>
      <color theme="1"/>
      <name val="B Yekan"/>
      <charset val="178"/>
    </font>
    <font>
      <sz val="10"/>
      <color rgb="FFFFFFFF"/>
      <name val="B Yekan"/>
      <charset val="178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D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0" fontId="22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1" fillId="35" borderId="0" xfId="0" applyFont="1" applyFill="1"/>
    <xf numFmtId="0" fontId="0" fillId="36" borderId="0" xfId="0" applyFill="1"/>
    <xf numFmtId="0" fontId="21" fillId="37" borderId="0" xfId="0" applyFont="1" applyFill="1"/>
    <xf numFmtId="0" fontId="23" fillId="38" borderId="0" xfId="0" applyFont="1" applyFill="1"/>
    <xf numFmtId="0" fontId="24" fillId="37" borderId="0" xfId="0" applyFont="1" applyFill="1" applyAlignment="1">
      <alignment horizontal="center" vertical="center" wrapText="1"/>
    </xf>
    <xf numFmtId="0" fontId="22" fillId="39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0" fontId="21" fillId="41" borderId="0" xfId="0" applyFont="1" applyFill="1"/>
    <xf numFmtId="0" fontId="23" fillId="38" borderId="0" xfId="0" quotePrefix="1" applyFont="1" applyFill="1"/>
    <xf numFmtId="0" fontId="25" fillId="33" borderId="0" xfId="0" applyFont="1" applyFill="1" applyAlignment="1">
      <alignment horizontal="center"/>
    </xf>
    <xf numFmtId="0" fontId="16" fillId="36" borderId="0" xfId="0" applyFont="1" applyFill="1"/>
    <xf numFmtId="0" fontId="26" fillId="44" borderId="0" xfId="0" applyFont="1" applyFill="1" applyAlignment="1">
      <alignment horizontal="center"/>
    </xf>
    <xf numFmtId="0" fontId="6" fillId="45" borderId="0" xfId="0" applyFont="1" applyFill="1" applyAlignment="1">
      <alignment horizontal="center"/>
    </xf>
    <xf numFmtId="0" fontId="20" fillId="44" borderId="0" xfId="42" applyFill="1" applyAlignment="1">
      <alignment horizontal="center"/>
    </xf>
    <xf numFmtId="0" fontId="27" fillId="46" borderId="0" xfId="0" applyFont="1" applyFill="1" applyAlignment="1">
      <alignment horizontal="center" vertical="center" wrapText="1"/>
    </xf>
    <xf numFmtId="0" fontId="28" fillId="34" borderId="0" xfId="0" applyFont="1" applyFill="1" applyAlignment="1">
      <alignment horizontal="center" vertical="center" wrapText="1"/>
    </xf>
    <xf numFmtId="0" fontId="29" fillId="45" borderId="0" xfId="0" applyFont="1" applyFill="1" applyAlignment="1">
      <alignment horizontal="center" vertical="center" wrapText="1"/>
    </xf>
    <xf numFmtId="0" fontId="29" fillId="47" borderId="10" xfId="0" applyFont="1" applyFill="1" applyBorder="1" applyAlignment="1">
      <alignment vertical="center" wrapText="1"/>
    </xf>
    <xf numFmtId="0" fontId="29" fillId="47" borderId="11" xfId="0" applyFont="1" applyFill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47" borderId="12" xfId="0" applyFont="1" applyFill="1" applyBorder="1" applyAlignment="1">
      <alignment vertical="center" wrapText="1"/>
    </xf>
    <xf numFmtId="0" fontId="27" fillId="33" borderId="0" xfId="0" applyFont="1" applyFill="1" applyAlignment="1">
      <alignment horizontal="center" vertical="center" wrapText="1"/>
    </xf>
    <xf numFmtId="0" fontId="27" fillId="35" borderId="0" xfId="0" applyFont="1" applyFill="1" applyAlignment="1">
      <alignment horizontal="center" vertical="center" wrapText="1"/>
    </xf>
    <xf numFmtId="0" fontId="28" fillId="42" borderId="0" xfId="0" applyFont="1" applyFill="1" applyAlignment="1">
      <alignment vertical="center" wrapText="1"/>
    </xf>
    <xf numFmtId="0" fontId="28" fillId="43" borderId="0" xfId="0" applyFont="1" applyFill="1" applyAlignment="1">
      <alignment vertical="center" wrapText="1"/>
    </xf>
    <xf numFmtId="0" fontId="28" fillId="40" borderId="0" xfId="0" applyFont="1" applyFill="1" applyAlignment="1">
      <alignment vertical="center" wrapText="1"/>
    </xf>
    <xf numFmtId="0" fontId="28" fillId="48" borderId="0" xfId="0" applyFont="1" applyFill="1" applyAlignment="1">
      <alignment vertical="center" wrapText="1"/>
    </xf>
    <xf numFmtId="0" fontId="30" fillId="41" borderId="0" xfId="0" applyFont="1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</font>
      <fill>
        <patternFill patternType="solid">
          <fgColor indexed="64"/>
          <bgColor rgb="FFFFF2CC"/>
        </patternFill>
      </fill>
      <border>
        <top style="thin">
          <color rgb="FFBF9000"/>
        </top>
        <bottom style="thin">
          <color rgb="FFBF9000"/>
        </bottom>
      </border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87CAF-5D3E-43B6-8903-143FAABCC175}" name="Table1" displayName="Table1" ref="A1:P839" totalsRowShown="0" headerRowDxfId="5" dataDxfId="6">
  <autoFilter ref="A1:P839" xr:uid="{2DD87CAF-5D3E-43B6-8903-143FAABCC175}"/>
  <tableColumns count="16">
    <tableColumn id="1" xr3:uid="{6C5ECAA1-527B-4C4C-B2EB-261346A8BE09}" name="ردیف" dataDxfId="21"/>
    <tableColumn id="2" xr3:uid="{908C1280-BBA8-471A-9B39-E91AD581FBA9}" name="دسته بندی" dataDxfId="20"/>
    <tableColumn id="3" xr3:uid="{69DE6336-2CAB-4BA9-936A-97CA80E92BDF}" name="محصول" dataDxfId="19"/>
    <tableColumn id="4" xr3:uid="{7D277F27-0577-4BB4-82A4-8D098BFC2C97}" name="وزن" dataDxfId="18"/>
    <tableColumn id="5" xr3:uid="{E5D5E0D2-730C-4AF2-B397-E82F0C3AD48E}" name="عیار" dataDxfId="17"/>
    <tableColumn id="6" xr3:uid="{30D07E08-62D5-48EE-A5FC-C7B873AE6E64}" name="فی تهیه اجرت درصدی" dataDxfId="16"/>
    <tableColumn id="7" xr3:uid="{898D3C2B-A4F6-427C-8D02-0C6958721982}" name="اجرت درصدی فروش" dataDxfId="15"/>
    <tableColumn id="8" xr3:uid="{2820E5F0-E76C-4C56-A7A8-7DA0C2ADBA28}" name="فی تهیه اجرت مبلغی" dataDxfId="14"/>
    <tableColumn id="9" xr3:uid="{32764048-C7B2-45A4-A3FF-EF0B80586CA0}" name="اجرت مبلغی فروش" dataDxfId="13"/>
    <tableColumn id="10" xr3:uid="{EAE6B8B4-64EA-4BEB-8304-85AF51D00993}" name="فی تهیه سنگ" dataDxfId="12"/>
    <tableColumn id="11" xr3:uid="{307F6BCF-5213-4F70-B7F7-9E86EA2843B9}" name="فی فروش سنگ" dataDxfId="11"/>
    <tableColumn id="12" xr3:uid="{8BDE02AC-C5A6-480D-AA5A-41DE55273810}" name="رنگ" dataDxfId="10"/>
    <tableColumn id="13" xr3:uid="{CEA66BB7-4644-4189-96A2-7849A6A76561}" name="نوع کالا" dataDxfId="9"/>
    <tableColumn id="14" xr3:uid="{74E1651A-E9E3-43F4-815A-33A7ECFD0C8A}" name="سایز" dataDxfId="8"/>
    <tableColumn id="15" xr3:uid="{10409CD9-3644-45B3-A791-E490F5BE89BA}" name="کد قدیمی" dataDxfId="7"/>
    <tableColumn id="16" xr3:uid="{49222B8B-4ECF-48E3-8A30-72C5B98D2642}" name="وضعیت" dataDxfId="4">
      <calculatedColumnFormula>IF(OR(COUNTIF('ثبت لیبل'!$B$11:$B$1010,TRIM(LEFT(C2,FIND("-",C2&amp;"-")-1)))&gt;0,COUNTIF('ثبت لیبل'!$B$11:$B$1010,SUBSTITUTE(TRIM(LEFT(C2,FIND("-",C2&amp;"-")-1)),"GD",""))&gt;0),"موجود","")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8B02B3-DFE5-4168-A334-745E65D2C963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5c327ec0-5411-4689-aae7-3a8a3208529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2190-101E-44D9-B0EB-928629C267A9}">
  <dimension ref="A1:P839"/>
  <sheetViews>
    <sheetView rightToLeft="1" workbookViewId="0">
      <selection activeCell="C2" sqref="C2"/>
    </sheetView>
  </sheetViews>
  <sheetFormatPr defaultRowHeight="14.25"/>
  <cols>
    <col min="1" max="1" width="5.75" customWidth="1"/>
    <col min="2" max="2" width="8.375" customWidth="1"/>
    <col min="3" max="3" width="24.875" bestFit="1" customWidth="1"/>
    <col min="4" max="4" width="5.25" bestFit="1" customWidth="1"/>
    <col min="5" max="5" width="5.25" customWidth="1"/>
    <col min="6" max="6" width="15" customWidth="1"/>
    <col min="7" max="7" width="14.25" customWidth="1"/>
    <col min="8" max="8" width="14" customWidth="1"/>
    <col min="9" max="9" width="13.25" customWidth="1"/>
    <col min="10" max="10" width="10.375" customWidth="1"/>
    <col min="11" max="11" width="11.5" customWidth="1"/>
    <col min="12" max="12" width="5.5" bestFit="1" customWidth="1"/>
    <col min="13" max="13" width="7.125" customWidth="1"/>
    <col min="14" max="14" width="7.25" bestFit="1" customWidth="1"/>
    <col min="15" max="15" width="7.375" customWidth="1"/>
    <col min="16" max="16" width="12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892</v>
      </c>
    </row>
    <row r="2" spans="1:16">
      <c r="A2" s="3">
        <v>1</v>
      </c>
      <c r="B2" s="3" t="s">
        <v>15</v>
      </c>
      <c r="C2" s="3" t="s">
        <v>16</v>
      </c>
      <c r="D2" s="3">
        <v>10.61</v>
      </c>
      <c r="E2" s="3">
        <v>750</v>
      </c>
      <c r="F2" s="3">
        <v>15</v>
      </c>
      <c r="G2" s="3">
        <v>21</v>
      </c>
      <c r="H2" s="3">
        <v>0</v>
      </c>
      <c r="I2" s="3">
        <v>0</v>
      </c>
      <c r="J2" s="3">
        <v>0</v>
      </c>
      <c r="K2" s="3">
        <v>0</v>
      </c>
      <c r="L2" s="3" t="s">
        <v>17</v>
      </c>
      <c r="M2" s="3" t="s">
        <v>18</v>
      </c>
      <c r="N2" s="2"/>
      <c r="O2" s="2"/>
      <c r="P2" s="3" t="str">
        <f>IF(OR(COUNTIF('ثبت لیبل'!$B$11:$B$1010,TRIM(LEFT(C2,FIND("-",C2&amp;"-")-1)))&gt;0,COUNTIF('ثبت لیبل'!$B$11:$B$1010,SUBSTITUTE(TRIM(LEFT(C2,FIND("-",C2&amp;"-")-1)),"GD",""))&gt;0),"موجود","")</f>
        <v>موجود</v>
      </c>
    </row>
    <row r="3" spans="1:16">
      <c r="A3" s="3">
        <v>2</v>
      </c>
      <c r="B3" s="3" t="s">
        <v>15</v>
      </c>
      <c r="C3" s="3" t="s">
        <v>19</v>
      </c>
      <c r="D3" s="3">
        <v>0.05</v>
      </c>
      <c r="E3" s="3">
        <v>750</v>
      </c>
      <c r="F3" s="3">
        <v>6</v>
      </c>
      <c r="G3" s="3">
        <v>6</v>
      </c>
      <c r="H3" s="3">
        <v>0</v>
      </c>
      <c r="I3" s="3">
        <v>0</v>
      </c>
      <c r="J3" s="4">
        <v>6160000</v>
      </c>
      <c r="K3" s="4">
        <v>6160000</v>
      </c>
      <c r="L3" s="3" t="s">
        <v>20</v>
      </c>
      <c r="M3" s="3" t="s">
        <v>21</v>
      </c>
      <c r="N3" s="2"/>
      <c r="O3" s="2"/>
      <c r="P3" s="3" t="str">
        <f>IF(OR(COUNTIF('ثبت لیبل'!$B$11:$B$1010,TRIM(LEFT(C3,FIND("-",C3&amp;"-")-1)))&gt;0,COUNTIF('ثبت لیبل'!$B$11:$B$1010,SUBSTITUTE(TRIM(LEFT(C3,FIND("-",C3&amp;"-")-1)),"GD",""))&gt;0),"موجود","")</f>
        <v/>
      </c>
    </row>
    <row r="4" spans="1:16">
      <c r="A4" s="3">
        <v>3</v>
      </c>
      <c r="B4" s="3" t="s">
        <v>15</v>
      </c>
      <c r="C4" s="3" t="s">
        <v>22</v>
      </c>
      <c r="D4" s="3">
        <v>0.05</v>
      </c>
      <c r="E4" s="3">
        <v>750</v>
      </c>
      <c r="F4" s="3">
        <v>6</v>
      </c>
      <c r="G4" s="3">
        <v>6</v>
      </c>
      <c r="H4" s="3">
        <v>0</v>
      </c>
      <c r="I4" s="3">
        <v>0</v>
      </c>
      <c r="J4" s="4">
        <v>6160000</v>
      </c>
      <c r="K4" s="4">
        <v>6160000</v>
      </c>
      <c r="L4" s="3" t="s">
        <v>20</v>
      </c>
      <c r="M4" s="3" t="s">
        <v>21</v>
      </c>
      <c r="N4" s="2"/>
      <c r="O4" s="2"/>
      <c r="P4" s="3" t="str">
        <f>IF(OR(COUNTIF('ثبت لیبل'!$B$11:$B$1010,TRIM(LEFT(C4,FIND("-",C4&amp;"-")-1)))&gt;0,COUNTIF('ثبت لیبل'!$B$11:$B$1010,SUBSTITUTE(TRIM(LEFT(C4,FIND("-",C4&amp;"-")-1)),"GD",""))&gt;0),"موجود","")</f>
        <v/>
      </c>
    </row>
    <row r="5" spans="1:16">
      <c r="A5" s="3">
        <v>4</v>
      </c>
      <c r="B5" s="3" t="s">
        <v>15</v>
      </c>
      <c r="C5" s="3" t="s">
        <v>23</v>
      </c>
      <c r="D5" s="3">
        <v>0.05</v>
      </c>
      <c r="E5" s="3">
        <v>750</v>
      </c>
      <c r="F5" s="3">
        <v>6</v>
      </c>
      <c r="G5" s="3">
        <v>6</v>
      </c>
      <c r="H5" s="3">
        <v>0</v>
      </c>
      <c r="I5" s="3">
        <v>0</v>
      </c>
      <c r="J5" s="4">
        <v>6160000</v>
      </c>
      <c r="K5" s="4">
        <v>6160000</v>
      </c>
      <c r="L5" s="3" t="s">
        <v>20</v>
      </c>
      <c r="M5" s="3" t="s">
        <v>21</v>
      </c>
      <c r="N5" s="2"/>
      <c r="O5" s="2"/>
      <c r="P5" s="3" t="str">
        <f>IF(OR(COUNTIF('ثبت لیبل'!$B$11:$B$1010,TRIM(LEFT(C5,FIND("-",C5&amp;"-")-1)))&gt;0,COUNTIF('ثبت لیبل'!$B$11:$B$1010,SUBSTITUTE(TRIM(LEFT(C5,FIND("-",C5&amp;"-")-1)),"GD",""))&gt;0),"موجود","")</f>
        <v/>
      </c>
    </row>
    <row r="6" spans="1:16">
      <c r="A6" s="3">
        <v>5</v>
      </c>
      <c r="B6" s="3" t="s">
        <v>15</v>
      </c>
      <c r="C6" s="3" t="s">
        <v>24</v>
      </c>
      <c r="D6" s="3">
        <v>0.05</v>
      </c>
      <c r="E6" s="3">
        <v>750</v>
      </c>
      <c r="F6" s="3">
        <v>6</v>
      </c>
      <c r="G6" s="3">
        <v>6</v>
      </c>
      <c r="H6" s="3">
        <v>0</v>
      </c>
      <c r="I6" s="3">
        <v>0</v>
      </c>
      <c r="J6" s="4">
        <v>6160000</v>
      </c>
      <c r="K6" s="4">
        <v>6160000</v>
      </c>
      <c r="L6" s="3" t="s">
        <v>20</v>
      </c>
      <c r="M6" s="3" t="s">
        <v>21</v>
      </c>
      <c r="N6" s="2"/>
      <c r="O6" s="2"/>
      <c r="P6" s="3" t="str">
        <f>IF(OR(COUNTIF('ثبت لیبل'!$B$11:$B$1010,TRIM(LEFT(C6,FIND("-",C6&amp;"-")-1)))&gt;0,COUNTIF('ثبت لیبل'!$B$11:$B$1010,SUBSTITUTE(TRIM(LEFT(C6,FIND("-",C6&amp;"-")-1)),"GD",""))&gt;0),"موجود","")</f>
        <v/>
      </c>
    </row>
    <row r="7" spans="1:16">
      <c r="A7" s="3">
        <v>6</v>
      </c>
      <c r="B7" s="3" t="s">
        <v>15</v>
      </c>
      <c r="C7" s="3" t="s">
        <v>25</v>
      </c>
      <c r="D7" s="3">
        <v>0.05</v>
      </c>
      <c r="E7" s="3">
        <v>750</v>
      </c>
      <c r="F7" s="3">
        <v>6</v>
      </c>
      <c r="G7" s="3">
        <v>6</v>
      </c>
      <c r="H7" s="3">
        <v>0</v>
      </c>
      <c r="I7" s="3">
        <v>0</v>
      </c>
      <c r="J7" s="4">
        <v>6160000</v>
      </c>
      <c r="K7" s="4">
        <v>6160000</v>
      </c>
      <c r="L7" s="3" t="s">
        <v>20</v>
      </c>
      <c r="M7" s="3" t="s">
        <v>21</v>
      </c>
      <c r="N7" s="2"/>
      <c r="O7" s="2"/>
      <c r="P7" s="3" t="str">
        <f>IF(OR(COUNTIF('ثبت لیبل'!$B$11:$B$1010,TRIM(LEFT(C7,FIND("-",C7&amp;"-")-1)))&gt;0,COUNTIF('ثبت لیبل'!$B$11:$B$1010,SUBSTITUTE(TRIM(LEFT(C7,FIND("-",C7&amp;"-")-1)),"GD",""))&gt;0),"موجود","")</f>
        <v/>
      </c>
    </row>
    <row r="8" spans="1:16">
      <c r="A8" s="3">
        <v>7</v>
      </c>
      <c r="B8" s="3" t="s">
        <v>15</v>
      </c>
      <c r="C8" s="3" t="s">
        <v>26</v>
      </c>
      <c r="D8" s="3">
        <v>0.05</v>
      </c>
      <c r="E8" s="3">
        <v>750</v>
      </c>
      <c r="F8" s="3">
        <v>6</v>
      </c>
      <c r="G8" s="3">
        <v>6</v>
      </c>
      <c r="H8" s="3">
        <v>0</v>
      </c>
      <c r="I8" s="3">
        <v>0</v>
      </c>
      <c r="J8" s="4">
        <v>6160000</v>
      </c>
      <c r="K8" s="4">
        <v>6160000</v>
      </c>
      <c r="L8" s="3" t="s">
        <v>20</v>
      </c>
      <c r="M8" s="3" t="s">
        <v>21</v>
      </c>
      <c r="N8" s="2"/>
      <c r="O8" s="2"/>
      <c r="P8" s="3" t="str">
        <f>IF(OR(COUNTIF('ثبت لیبل'!$B$11:$B$1010,TRIM(LEFT(C8,FIND("-",C8&amp;"-")-1)))&gt;0,COUNTIF('ثبت لیبل'!$B$11:$B$1010,SUBSTITUTE(TRIM(LEFT(C8,FIND("-",C8&amp;"-")-1)),"GD",""))&gt;0),"موجود","")</f>
        <v/>
      </c>
    </row>
    <row r="9" spans="1:16">
      <c r="A9" s="3">
        <v>8</v>
      </c>
      <c r="B9" s="3" t="s">
        <v>15</v>
      </c>
      <c r="C9" s="3" t="s">
        <v>27</v>
      </c>
      <c r="D9" s="3">
        <v>0.05</v>
      </c>
      <c r="E9" s="3">
        <v>750</v>
      </c>
      <c r="F9" s="3">
        <v>6</v>
      </c>
      <c r="G9" s="3">
        <v>6</v>
      </c>
      <c r="H9" s="3">
        <v>0</v>
      </c>
      <c r="I9" s="3">
        <v>0</v>
      </c>
      <c r="J9" s="4">
        <v>6160000</v>
      </c>
      <c r="K9" s="4">
        <v>6160000</v>
      </c>
      <c r="L9" s="3" t="s">
        <v>20</v>
      </c>
      <c r="M9" s="3" t="s">
        <v>21</v>
      </c>
      <c r="N9" s="2"/>
      <c r="O9" s="2"/>
      <c r="P9" s="3" t="str">
        <f>IF(OR(COUNTIF('ثبت لیبل'!$B$11:$B$1010,TRIM(LEFT(C9,FIND("-",C9&amp;"-")-1)))&gt;0,COUNTIF('ثبت لیبل'!$B$11:$B$1010,SUBSTITUTE(TRIM(LEFT(C9,FIND("-",C9&amp;"-")-1)),"GD",""))&gt;0),"موجود","")</f>
        <v/>
      </c>
    </row>
    <row r="10" spans="1:16">
      <c r="A10" s="3">
        <v>9</v>
      </c>
      <c r="B10" s="3" t="s">
        <v>15</v>
      </c>
      <c r="C10" s="3" t="s">
        <v>28</v>
      </c>
      <c r="D10" s="3">
        <v>0.05</v>
      </c>
      <c r="E10" s="3">
        <v>750</v>
      </c>
      <c r="F10" s="3">
        <v>6</v>
      </c>
      <c r="G10" s="3">
        <v>6</v>
      </c>
      <c r="H10" s="3">
        <v>0</v>
      </c>
      <c r="I10" s="3">
        <v>0</v>
      </c>
      <c r="J10" s="4">
        <v>6160000</v>
      </c>
      <c r="K10" s="4">
        <v>6160000</v>
      </c>
      <c r="L10" s="3" t="s">
        <v>20</v>
      </c>
      <c r="M10" s="3" t="s">
        <v>21</v>
      </c>
      <c r="N10" s="2"/>
      <c r="O10" s="2"/>
      <c r="P10" s="3" t="str">
        <f>IF(OR(COUNTIF('ثبت لیبل'!$B$11:$B$1010,TRIM(LEFT(C10,FIND("-",C10&amp;"-")-1)))&gt;0,COUNTIF('ثبت لیبل'!$B$11:$B$1010,SUBSTITUTE(TRIM(LEFT(C10,FIND("-",C10&amp;"-")-1)),"GD",""))&gt;0),"موجود","")</f>
        <v/>
      </c>
    </row>
    <row r="11" spans="1:16">
      <c r="A11" s="3">
        <v>10</v>
      </c>
      <c r="B11" s="3" t="s">
        <v>15</v>
      </c>
      <c r="C11" s="3" t="s">
        <v>29</v>
      </c>
      <c r="D11" s="3">
        <v>0.55000000000000004</v>
      </c>
      <c r="E11" s="3">
        <v>750</v>
      </c>
      <c r="F11" s="3">
        <v>12</v>
      </c>
      <c r="G11" s="3">
        <v>12</v>
      </c>
      <c r="H11" s="3">
        <v>0</v>
      </c>
      <c r="I11" s="3">
        <v>0</v>
      </c>
      <c r="J11" s="3">
        <v>0</v>
      </c>
      <c r="K11" s="3">
        <v>0</v>
      </c>
      <c r="L11" s="3" t="s">
        <v>17</v>
      </c>
      <c r="M11" s="3" t="s">
        <v>21</v>
      </c>
      <c r="N11" s="2"/>
      <c r="O11" s="2"/>
      <c r="P11" s="3" t="str">
        <f>IF(OR(COUNTIF('ثبت لیبل'!$B$11:$B$1010,TRIM(LEFT(C11,FIND("-",C11&amp;"-")-1)))&gt;0,COUNTIF('ثبت لیبل'!$B$11:$B$1010,SUBSTITUTE(TRIM(LEFT(C11,FIND("-",C11&amp;"-")-1)),"GD",""))&gt;0),"موجود","")</f>
        <v/>
      </c>
    </row>
    <row r="12" spans="1:16">
      <c r="A12" s="3">
        <v>11</v>
      </c>
      <c r="B12" s="3" t="s">
        <v>15</v>
      </c>
      <c r="C12" s="3" t="s">
        <v>30</v>
      </c>
      <c r="D12" s="3">
        <v>0.95</v>
      </c>
      <c r="E12" s="3">
        <v>750</v>
      </c>
      <c r="F12" s="3">
        <v>12</v>
      </c>
      <c r="G12" s="3">
        <v>12</v>
      </c>
      <c r="H12" s="3">
        <v>0</v>
      </c>
      <c r="I12" s="3">
        <v>0</v>
      </c>
      <c r="J12" s="3">
        <v>0</v>
      </c>
      <c r="K12" s="3">
        <v>0</v>
      </c>
      <c r="L12" s="3" t="s">
        <v>17</v>
      </c>
      <c r="M12" s="3" t="s">
        <v>21</v>
      </c>
      <c r="N12" s="2"/>
      <c r="O12" s="2"/>
      <c r="P12" s="3" t="str">
        <f>IF(OR(COUNTIF('ثبت لیبل'!$B$11:$B$1010,TRIM(LEFT(C12,FIND("-",C12&amp;"-")-1)))&gt;0,COUNTIF('ثبت لیبل'!$B$11:$B$1010,SUBSTITUTE(TRIM(LEFT(C12,FIND("-",C12&amp;"-")-1)),"GD",""))&gt;0),"موجود","")</f>
        <v/>
      </c>
    </row>
    <row r="13" spans="1:16">
      <c r="A13" s="3">
        <v>12</v>
      </c>
      <c r="B13" s="3" t="s">
        <v>15</v>
      </c>
      <c r="C13" s="3" t="s">
        <v>31</v>
      </c>
      <c r="D13" s="3">
        <v>0.7</v>
      </c>
      <c r="E13" s="3">
        <v>750</v>
      </c>
      <c r="F13" s="3">
        <v>12</v>
      </c>
      <c r="G13" s="3">
        <v>12</v>
      </c>
      <c r="H13" s="3">
        <v>0</v>
      </c>
      <c r="I13" s="3">
        <v>0</v>
      </c>
      <c r="J13" s="3">
        <v>0</v>
      </c>
      <c r="K13" s="3">
        <v>0</v>
      </c>
      <c r="L13" s="3" t="s">
        <v>17</v>
      </c>
      <c r="M13" s="3" t="s">
        <v>21</v>
      </c>
      <c r="N13" s="2"/>
      <c r="O13" s="2"/>
      <c r="P13" s="3" t="str">
        <f>IF(OR(COUNTIF('ثبت لیبل'!$B$11:$B$1010,TRIM(LEFT(C13,FIND("-",C13&amp;"-")-1)))&gt;0,COUNTIF('ثبت لیبل'!$B$11:$B$1010,SUBSTITUTE(TRIM(LEFT(C13,FIND("-",C13&amp;"-")-1)),"GD",""))&gt;0),"موجود","")</f>
        <v/>
      </c>
    </row>
    <row r="14" spans="1:16">
      <c r="A14" s="3">
        <v>13</v>
      </c>
      <c r="B14" s="3" t="s">
        <v>15</v>
      </c>
      <c r="C14" s="3" t="s">
        <v>32</v>
      </c>
      <c r="D14" s="3">
        <v>0.36</v>
      </c>
      <c r="E14" s="3">
        <v>750</v>
      </c>
      <c r="F14" s="3">
        <v>12</v>
      </c>
      <c r="G14" s="3">
        <v>12</v>
      </c>
      <c r="H14" s="3">
        <v>0</v>
      </c>
      <c r="I14" s="3">
        <v>0</v>
      </c>
      <c r="J14" s="3">
        <v>0</v>
      </c>
      <c r="K14" s="3">
        <v>0</v>
      </c>
      <c r="L14" s="3" t="s">
        <v>17</v>
      </c>
      <c r="M14" s="3" t="s">
        <v>21</v>
      </c>
      <c r="N14" s="2"/>
      <c r="O14" s="2"/>
      <c r="P14" s="3" t="str">
        <f>IF(OR(COUNTIF('ثبت لیبل'!$B$11:$B$1010,TRIM(LEFT(C14,FIND("-",C14&amp;"-")-1)))&gt;0,COUNTIF('ثبت لیبل'!$B$11:$B$1010,SUBSTITUTE(TRIM(LEFT(C14,FIND("-",C14&amp;"-")-1)),"GD",""))&gt;0),"موجود","")</f>
        <v/>
      </c>
    </row>
    <row r="15" spans="1:16">
      <c r="A15" s="3">
        <v>14</v>
      </c>
      <c r="B15" s="3" t="s">
        <v>15</v>
      </c>
      <c r="C15" s="3" t="s">
        <v>33</v>
      </c>
      <c r="D15" s="3">
        <v>0.43</v>
      </c>
      <c r="E15" s="3">
        <v>750</v>
      </c>
      <c r="F15" s="3">
        <v>12</v>
      </c>
      <c r="G15" s="3">
        <v>12</v>
      </c>
      <c r="H15" s="3">
        <v>0</v>
      </c>
      <c r="I15" s="3">
        <v>0</v>
      </c>
      <c r="J15" s="3">
        <v>0</v>
      </c>
      <c r="K15" s="3">
        <v>0</v>
      </c>
      <c r="L15" s="3" t="s">
        <v>17</v>
      </c>
      <c r="M15" s="3" t="s">
        <v>21</v>
      </c>
      <c r="N15" s="2"/>
      <c r="O15" s="2"/>
      <c r="P15" s="3" t="str">
        <f>IF(OR(COUNTIF('ثبت لیبل'!$B$11:$B$1010,TRIM(LEFT(C15,FIND("-",C15&amp;"-")-1)))&gt;0,COUNTIF('ثبت لیبل'!$B$11:$B$1010,SUBSTITUTE(TRIM(LEFT(C15,FIND("-",C15&amp;"-")-1)),"GD",""))&gt;0),"موجود","")</f>
        <v/>
      </c>
    </row>
    <row r="16" spans="1:16">
      <c r="A16" s="3">
        <v>15</v>
      </c>
      <c r="B16" s="3" t="s">
        <v>15</v>
      </c>
      <c r="C16" s="3" t="s">
        <v>34</v>
      </c>
      <c r="D16" s="3">
        <v>0.25</v>
      </c>
      <c r="E16" s="3">
        <v>750</v>
      </c>
      <c r="F16" s="3">
        <v>12</v>
      </c>
      <c r="G16" s="3">
        <v>12</v>
      </c>
      <c r="H16" s="3">
        <v>0</v>
      </c>
      <c r="I16" s="3">
        <v>0</v>
      </c>
      <c r="J16" s="3">
        <v>0</v>
      </c>
      <c r="K16" s="3">
        <v>0</v>
      </c>
      <c r="L16" s="3" t="s">
        <v>17</v>
      </c>
      <c r="M16" s="3" t="s">
        <v>21</v>
      </c>
      <c r="N16" s="2"/>
      <c r="O16" s="2"/>
      <c r="P16" s="3" t="str">
        <f>IF(OR(COUNTIF('ثبت لیبل'!$B$11:$B$1010,TRIM(LEFT(C16,FIND("-",C16&amp;"-")-1)))&gt;0,COUNTIF('ثبت لیبل'!$B$11:$B$1010,SUBSTITUTE(TRIM(LEFT(C16,FIND("-",C16&amp;"-")-1)),"GD",""))&gt;0),"موجود","")</f>
        <v/>
      </c>
    </row>
    <row r="17" spans="1:16">
      <c r="A17" s="3">
        <v>16</v>
      </c>
      <c r="B17" s="3" t="s">
        <v>15</v>
      </c>
      <c r="C17" s="3" t="s">
        <v>35</v>
      </c>
      <c r="D17" s="3">
        <v>0.42</v>
      </c>
      <c r="E17" s="3">
        <v>750</v>
      </c>
      <c r="F17" s="3">
        <v>12</v>
      </c>
      <c r="G17" s="3">
        <v>12</v>
      </c>
      <c r="H17" s="3">
        <v>0</v>
      </c>
      <c r="I17" s="3">
        <v>0</v>
      </c>
      <c r="J17" s="3">
        <v>0</v>
      </c>
      <c r="K17" s="3">
        <v>0</v>
      </c>
      <c r="L17" s="3" t="s">
        <v>17</v>
      </c>
      <c r="M17" s="3" t="s">
        <v>21</v>
      </c>
      <c r="N17" s="2"/>
      <c r="O17" s="2"/>
      <c r="P17" s="3" t="str">
        <f>IF(OR(COUNTIF('ثبت لیبل'!$B$11:$B$1010,TRIM(LEFT(C17,FIND("-",C17&amp;"-")-1)))&gt;0,COUNTIF('ثبت لیبل'!$B$11:$B$1010,SUBSTITUTE(TRIM(LEFT(C17,FIND("-",C17&amp;"-")-1)),"GD",""))&gt;0),"موجود","")</f>
        <v/>
      </c>
    </row>
    <row r="18" spans="1:16">
      <c r="A18" s="3">
        <v>17</v>
      </c>
      <c r="B18" s="3" t="s">
        <v>15</v>
      </c>
      <c r="C18" s="3" t="s">
        <v>36</v>
      </c>
      <c r="D18" s="3">
        <v>0.26</v>
      </c>
      <c r="E18" s="3">
        <v>750</v>
      </c>
      <c r="F18" s="3">
        <v>12</v>
      </c>
      <c r="G18" s="3">
        <v>12</v>
      </c>
      <c r="H18" s="3">
        <v>0</v>
      </c>
      <c r="I18" s="3">
        <v>0</v>
      </c>
      <c r="J18" s="3">
        <v>0</v>
      </c>
      <c r="K18" s="3">
        <v>0</v>
      </c>
      <c r="L18" s="3" t="s">
        <v>17</v>
      </c>
      <c r="M18" s="3" t="s">
        <v>21</v>
      </c>
      <c r="N18" s="2"/>
      <c r="O18" s="2"/>
      <c r="P18" s="3" t="str">
        <f>IF(OR(COUNTIF('ثبت لیبل'!$B$11:$B$1010,TRIM(LEFT(C18,FIND("-",C18&amp;"-")-1)))&gt;0,COUNTIF('ثبت لیبل'!$B$11:$B$1010,SUBSTITUTE(TRIM(LEFT(C18,FIND("-",C18&amp;"-")-1)),"GD",""))&gt;0),"موجود","")</f>
        <v/>
      </c>
    </row>
    <row r="19" spans="1:16">
      <c r="A19" s="3">
        <v>18</v>
      </c>
      <c r="B19" s="3" t="s">
        <v>15</v>
      </c>
      <c r="C19" s="3" t="s">
        <v>37</v>
      </c>
      <c r="D19" s="3">
        <v>0.28999999999999998</v>
      </c>
      <c r="E19" s="3">
        <v>750</v>
      </c>
      <c r="F19" s="3">
        <v>12</v>
      </c>
      <c r="G19" s="3">
        <v>12</v>
      </c>
      <c r="H19" s="3">
        <v>0</v>
      </c>
      <c r="I19" s="3">
        <v>0</v>
      </c>
      <c r="J19" s="3">
        <v>0</v>
      </c>
      <c r="K19" s="3">
        <v>0</v>
      </c>
      <c r="L19" s="3" t="s">
        <v>17</v>
      </c>
      <c r="M19" s="3" t="s">
        <v>21</v>
      </c>
      <c r="N19" s="2"/>
      <c r="O19" s="2"/>
      <c r="P19" s="3" t="str">
        <f>IF(OR(COUNTIF('ثبت لیبل'!$B$11:$B$1010,TRIM(LEFT(C19,FIND("-",C19&amp;"-")-1)))&gt;0,COUNTIF('ثبت لیبل'!$B$11:$B$1010,SUBSTITUTE(TRIM(LEFT(C19,FIND("-",C19&amp;"-")-1)),"GD",""))&gt;0),"موجود","")</f>
        <v/>
      </c>
    </row>
    <row r="20" spans="1:16">
      <c r="A20" s="3">
        <v>19</v>
      </c>
      <c r="B20" s="3" t="s">
        <v>15</v>
      </c>
      <c r="C20" s="3" t="s">
        <v>38</v>
      </c>
      <c r="D20" s="3">
        <v>0.28000000000000003</v>
      </c>
      <c r="E20" s="3">
        <v>750</v>
      </c>
      <c r="F20" s="3">
        <v>12</v>
      </c>
      <c r="G20" s="3">
        <v>12</v>
      </c>
      <c r="H20" s="3">
        <v>0</v>
      </c>
      <c r="I20" s="3">
        <v>0</v>
      </c>
      <c r="J20" s="3">
        <v>0</v>
      </c>
      <c r="K20" s="3">
        <v>0</v>
      </c>
      <c r="L20" s="3" t="s">
        <v>17</v>
      </c>
      <c r="M20" s="3" t="s">
        <v>21</v>
      </c>
      <c r="N20" s="2"/>
      <c r="O20" s="2"/>
      <c r="P20" s="3" t="str">
        <f>IF(OR(COUNTIF('ثبت لیبل'!$B$11:$B$1010,TRIM(LEFT(C20,FIND("-",C20&amp;"-")-1)))&gt;0,COUNTIF('ثبت لیبل'!$B$11:$B$1010,SUBSTITUTE(TRIM(LEFT(C20,FIND("-",C20&amp;"-")-1)),"GD",""))&gt;0),"موجود","")</f>
        <v/>
      </c>
    </row>
    <row r="21" spans="1:16">
      <c r="A21" s="3">
        <v>20</v>
      </c>
      <c r="B21" s="3" t="s">
        <v>15</v>
      </c>
      <c r="C21" s="3" t="s">
        <v>39</v>
      </c>
      <c r="D21" s="3">
        <v>0.3</v>
      </c>
      <c r="E21" s="3">
        <v>750</v>
      </c>
      <c r="F21" s="3">
        <v>12</v>
      </c>
      <c r="G21" s="3">
        <v>12</v>
      </c>
      <c r="H21" s="3">
        <v>0</v>
      </c>
      <c r="I21" s="3">
        <v>0</v>
      </c>
      <c r="J21" s="3">
        <v>0</v>
      </c>
      <c r="K21" s="3">
        <v>0</v>
      </c>
      <c r="L21" s="3" t="s">
        <v>17</v>
      </c>
      <c r="M21" s="3" t="s">
        <v>21</v>
      </c>
      <c r="N21" s="2"/>
      <c r="O21" s="2"/>
      <c r="P21" s="3" t="str">
        <f>IF(OR(COUNTIF('ثبت لیبل'!$B$11:$B$1010,TRIM(LEFT(C21,FIND("-",C21&amp;"-")-1)))&gt;0,COUNTIF('ثبت لیبل'!$B$11:$B$1010,SUBSTITUTE(TRIM(LEFT(C21,FIND("-",C21&amp;"-")-1)),"GD",""))&gt;0),"موجود","")</f>
        <v/>
      </c>
    </row>
    <row r="22" spans="1:16">
      <c r="A22" s="3">
        <v>21</v>
      </c>
      <c r="B22" s="3" t="s">
        <v>15</v>
      </c>
      <c r="C22" s="3" t="s">
        <v>40</v>
      </c>
      <c r="D22" s="3">
        <v>0.42</v>
      </c>
      <c r="E22" s="3">
        <v>750</v>
      </c>
      <c r="F22" s="3">
        <v>12</v>
      </c>
      <c r="G22" s="3">
        <v>12</v>
      </c>
      <c r="H22" s="3">
        <v>0</v>
      </c>
      <c r="I22" s="3">
        <v>0</v>
      </c>
      <c r="J22" s="3">
        <v>0</v>
      </c>
      <c r="K22" s="3">
        <v>0</v>
      </c>
      <c r="L22" s="3" t="s">
        <v>17</v>
      </c>
      <c r="M22" s="3" t="s">
        <v>21</v>
      </c>
      <c r="N22" s="2"/>
      <c r="O22" s="2"/>
      <c r="P22" s="3" t="str">
        <f>IF(OR(COUNTIF('ثبت لیبل'!$B$11:$B$1010,TRIM(LEFT(C22,FIND("-",C22&amp;"-")-1)))&gt;0,COUNTIF('ثبت لیبل'!$B$11:$B$1010,SUBSTITUTE(TRIM(LEFT(C22,FIND("-",C22&amp;"-")-1)),"GD",""))&gt;0),"موجود","")</f>
        <v/>
      </c>
    </row>
    <row r="23" spans="1:16">
      <c r="A23" s="3">
        <v>22</v>
      </c>
      <c r="B23" s="3" t="s">
        <v>15</v>
      </c>
      <c r="C23" s="3" t="s">
        <v>41</v>
      </c>
      <c r="D23" s="3">
        <v>0.45</v>
      </c>
      <c r="E23" s="3">
        <v>750</v>
      </c>
      <c r="F23" s="3">
        <v>12</v>
      </c>
      <c r="G23" s="3">
        <v>12</v>
      </c>
      <c r="H23" s="3">
        <v>0</v>
      </c>
      <c r="I23" s="3">
        <v>0</v>
      </c>
      <c r="J23" s="3">
        <v>0</v>
      </c>
      <c r="K23" s="3">
        <v>0</v>
      </c>
      <c r="L23" s="3" t="s">
        <v>17</v>
      </c>
      <c r="M23" s="3" t="s">
        <v>21</v>
      </c>
      <c r="N23" s="2"/>
      <c r="O23" s="2"/>
      <c r="P23" s="3" t="str">
        <f>IF(OR(COUNTIF('ثبت لیبل'!$B$11:$B$1010,TRIM(LEFT(C23,FIND("-",C23&amp;"-")-1)))&gt;0,COUNTIF('ثبت لیبل'!$B$11:$B$1010,SUBSTITUTE(TRIM(LEFT(C23,FIND("-",C23&amp;"-")-1)),"GD",""))&gt;0),"موجود","")</f>
        <v/>
      </c>
    </row>
    <row r="24" spans="1:16">
      <c r="A24" s="3">
        <v>23</v>
      </c>
      <c r="B24" s="3" t="s">
        <v>15</v>
      </c>
      <c r="C24" s="3" t="s">
        <v>42</v>
      </c>
      <c r="D24" s="3">
        <v>0.82</v>
      </c>
      <c r="E24" s="3">
        <v>750</v>
      </c>
      <c r="F24" s="3">
        <v>19</v>
      </c>
      <c r="G24" s="3">
        <v>19</v>
      </c>
      <c r="H24" s="3">
        <v>0</v>
      </c>
      <c r="I24" s="3">
        <v>0</v>
      </c>
      <c r="J24" s="3">
        <v>0</v>
      </c>
      <c r="K24" s="3">
        <v>0</v>
      </c>
      <c r="L24" s="3" t="s">
        <v>17</v>
      </c>
      <c r="M24" s="3" t="s">
        <v>43</v>
      </c>
      <c r="N24" s="2"/>
      <c r="O24" s="2"/>
      <c r="P24" s="3" t="str">
        <f>IF(OR(COUNTIF('ثبت لیبل'!$B$11:$B$1010,TRIM(LEFT(C24,FIND("-",C24&amp;"-")-1)))&gt;0,COUNTIF('ثبت لیبل'!$B$11:$B$1010,SUBSTITUTE(TRIM(LEFT(C24,FIND("-",C24&amp;"-")-1)),"GD",""))&gt;0),"موجود","")</f>
        <v/>
      </c>
    </row>
    <row r="25" spans="1:16">
      <c r="A25" s="3">
        <v>24</v>
      </c>
      <c r="B25" s="3" t="s">
        <v>15</v>
      </c>
      <c r="C25" s="3" t="s">
        <v>44</v>
      </c>
      <c r="D25" s="3">
        <v>0.82</v>
      </c>
      <c r="E25" s="3">
        <v>750</v>
      </c>
      <c r="F25" s="3">
        <v>19</v>
      </c>
      <c r="G25" s="3">
        <v>19</v>
      </c>
      <c r="H25" s="3">
        <v>0</v>
      </c>
      <c r="I25" s="3">
        <v>0</v>
      </c>
      <c r="J25" s="3">
        <v>0</v>
      </c>
      <c r="K25" s="3">
        <v>0</v>
      </c>
      <c r="L25" s="3" t="s">
        <v>17</v>
      </c>
      <c r="M25" s="3" t="s">
        <v>43</v>
      </c>
      <c r="N25" s="2"/>
      <c r="O25" s="2"/>
      <c r="P25" s="3" t="str">
        <f>IF(OR(COUNTIF('ثبت لیبل'!$B$11:$B$1010,TRIM(LEFT(C25,FIND("-",C25&amp;"-")-1)))&gt;0,COUNTIF('ثبت لیبل'!$B$11:$B$1010,SUBSTITUTE(TRIM(LEFT(C25,FIND("-",C25&amp;"-")-1)),"GD",""))&gt;0),"موجود","")</f>
        <v/>
      </c>
    </row>
    <row r="26" spans="1:16">
      <c r="A26" s="3">
        <v>25</v>
      </c>
      <c r="B26" s="3" t="s">
        <v>15</v>
      </c>
      <c r="C26" s="3" t="s">
        <v>45</v>
      </c>
      <c r="D26" s="3">
        <v>0.4</v>
      </c>
      <c r="E26" s="3">
        <v>750</v>
      </c>
      <c r="F26" s="3">
        <v>19</v>
      </c>
      <c r="G26" s="3">
        <v>19</v>
      </c>
      <c r="H26" s="3">
        <v>0</v>
      </c>
      <c r="I26" s="3">
        <v>0</v>
      </c>
      <c r="J26" s="3">
        <v>0</v>
      </c>
      <c r="K26" s="3">
        <v>0</v>
      </c>
      <c r="L26" s="3" t="s">
        <v>17</v>
      </c>
      <c r="M26" s="3" t="s">
        <v>46</v>
      </c>
      <c r="N26" s="2"/>
      <c r="O26" s="2"/>
      <c r="P26" s="3" t="str">
        <f>IF(OR(COUNTIF('ثبت لیبل'!$B$11:$B$1010,TRIM(LEFT(C26,FIND("-",C26&amp;"-")-1)))&gt;0,COUNTIF('ثبت لیبل'!$B$11:$B$1010,SUBSTITUTE(TRIM(LEFT(C26,FIND("-",C26&amp;"-")-1)),"GD",""))&gt;0),"موجود","")</f>
        <v/>
      </c>
    </row>
    <row r="27" spans="1:16">
      <c r="A27" s="3">
        <v>26</v>
      </c>
      <c r="B27" s="3" t="s">
        <v>15</v>
      </c>
      <c r="C27" s="3" t="s">
        <v>47</v>
      </c>
      <c r="D27" s="3">
        <v>0.05</v>
      </c>
      <c r="E27" s="3">
        <v>750</v>
      </c>
      <c r="F27" s="3">
        <v>6</v>
      </c>
      <c r="G27" s="3">
        <v>6</v>
      </c>
      <c r="H27" s="3">
        <v>0</v>
      </c>
      <c r="I27" s="3">
        <v>0</v>
      </c>
      <c r="J27" s="4">
        <v>6160000</v>
      </c>
      <c r="K27" s="4">
        <v>6160000</v>
      </c>
      <c r="L27" s="3" t="s">
        <v>20</v>
      </c>
      <c r="M27" s="3" t="s">
        <v>21</v>
      </c>
      <c r="N27" s="2"/>
      <c r="O27" s="2"/>
      <c r="P27" s="3" t="str">
        <f>IF(OR(COUNTIF('ثبت لیبل'!$B$11:$B$1010,TRIM(LEFT(C27,FIND("-",C27&amp;"-")-1)))&gt;0,COUNTIF('ثبت لیبل'!$B$11:$B$1010,SUBSTITUTE(TRIM(LEFT(C27,FIND("-",C27&amp;"-")-1)),"GD",""))&gt;0),"موجود","")</f>
        <v/>
      </c>
    </row>
    <row r="28" spans="1:16">
      <c r="A28" s="3">
        <v>27</v>
      </c>
      <c r="B28" s="3" t="s">
        <v>15</v>
      </c>
      <c r="C28" s="3" t="s">
        <v>48</v>
      </c>
      <c r="D28" s="3">
        <v>0.4</v>
      </c>
      <c r="E28" s="3">
        <v>750</v>
      </c>
      <c r="F28" s="3">
        <v>19</v>
      </c>
      <c r="G28" s="3">
        <v>19</v>
      </c>
      <c r="H28" s="3">
        <v>0</v>
      </c>
      <c r="I28" s="3">
        <v>0</v>
      </c>
      <c r="J28" s="3">
        <v>0</v>
      </c>
      <c r="K28" s="3">
        <v>0</v>
      </c>
      <c r="L28" s="3" t="s">
        <v>17</v>
      </c>
      <c r="M28" s="3" t="s">
        <v>46</v>
      </c>
      <c r="N28" s="2"/>
      <c r="O28" s="2"/>
      <c r="P28" s="3" t="str">
        <f>IF(OR(COUNTIF('ثبت لیبل'!$B$11:$B$1010,TRIM(LEFT(C28,FIND("-",C28&amp;"-")-1)))&gt;0,COUNTIF('ثبت لیبل'!$B$11:$B$1010,SUBSTITUTE(TRIM(LEFT(C28,FIND("-",C28&amp;"-")-1)),"GD",""))&gt;0),"موجود","")</f>
        <v/>
      </c>
    </row>
    <row r="29" spans="1:16">
      <c r="A29" s="3">
        <v>28</v>
      </c>
      <c r="B29" s="3" t="s">
        <v>15</v>
      </c>
      <c r="C29" s="3" t="s">
        <v>49</v>
      </c>
      <c r="D29" s="3">
        <v>0.45</v>
      </c>
      <c r="E29" s="3">
        <v>750</v>
      </c>
      <c r="F29" s="3">
        <v>12</v>
      </c>
      <c r="G29" s="3">
        <v>12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21</v>
      </c>
      <c r="N29" s="2"/>
      <c r="O29" s="2"/>
      <c r="P29" s="3" t="str">
        <f>IF(OR(COUNTIF('ثبت لیبل'!$B$11:$B$1010,TRIM(LEFT(C29,FIND("-",C29&amp;"-")-1)))&gt;0,COUNTIF('ثبت لیبل'!$B$11:$B$1010,SUBSTITUTE(TRIM(LEFT(C29,FIND("-",C29&amp;"-")-1)),"GD",""))&gt;0),"موجود","")</f>
        <v/>
      </c>
    </row>
    <row r="30" spans="1:16">
      <c r="A30" s="3">
        <v>29</v>
      </c>
      <c r="B30" s="3" t="s">
        <v>15</v>
      </c>
      <c r="C30" s="3" t="s">
        <v>50</v>
      </c>
      <c r="D30" s="3">
        <v>0.4</v>
      </c>
      <c r="E30" s="3">
        <v>750</v>
      </c>
      <c r="F30" s="3">
        <v>12</v>
      </c>
      <c r="G30" s="3">
        <v>12</v>
      </c>
      <c r="H30" s="3">
        <v>0</v>
      </c>
      <c r="I30" s="3">
        <v>0</v>
      </c>
      <c r="J30" s="3">
        <v>0</v>
      </c>
      <c r="K30" s="3">
        <v>0</v>
      </c>
      <c r="L30" s="3" t="s">
        <v>17</v>
      </c>
      <c r="M30" s="3" t="s">
        <v>21</v>
      </c>
      <c r="N30" s="2"/>
      <c r="O30" s="2"/>
      <c r="P30" s="3" t="str">
        <f>IF(OR(COUNTIF('ثبت لیبل'!$B$11:$B$1010,TRIM(LEFT(C30,FIND("-",C30&amp;"-")-1)))&gt;0,COUNTIF('ثبت لیبل'!$B$11:$B$1010,SUBSTITUTE(TRIM(LEFT(C30,FIND("-",C30&amp;"-")-1)),"GD",""))&gt;0),"موجود","")</f>
        <v/>
      </c>
    </row>
    <row r="31" spans="1:16">
      <c r="A31" s="3">
        <v>30</v>
      </c>
      <c r="B31" s="3" t="s">
        <v>15</v>
      </c>
      <c r="C31" s="3" t="s">
        <v>51</v>
      </c>
      <c r="D31" s="3">
        <v>0.52</v>
      </c>
      <c r="E31" s="3">
        <v>750</v>
      </c>
      <c r="F31" s="3">
        <v>12</v>
      </c>
      <c r="G31" s="3">
        <v>12</v>
      </c>
      <c r="H31" s="3">
        <v>0</v>
      </c>
      <c r="I31" s="3">
        <v>0</v>
      </c>
      <c r="J31" s="3">
        <v>0</v>
      </c>
      <c r="K31" s="3">
        <v>0</v>
      </c>
      <c r="L31" s="3" t="s">
        <v>17</v>
      </c>
      <c r="M31" s="3" t="s">
        <v>21</v>
      </c>
      <c r="N31" s="2"/>
      <c r="O31" s="2"/>
      <c r="P31" s="3" t="str">
        <f>IF(OR(COUNTIF('ثبت لیبل'!$B$11:$B$1010,TRIM(LEFT(C31,FIND("-",C31&amp;"-")-1)))&gt;0,COUNTIF('ثبت لیبل'!$B$11:$B$1010,SUBSTITUTE(TRIM(LEFT(C31,FIND("-",C31&amp;"-")-1)),"GD",""))&gt;0),"موجود","")</f>
        <v/>
      </c>
    </row>
    <row r="32" spans="1:16">
      <c r="A32" s="3">
        <v>31</v>
      </c>
      <c r="B32" s="3" t="s">
        <v>15</v>
      </c>
      <c r="C32" s="3" t="s">
        <v>52</v>
      </c>
      <c r="D32" s="3">
        <v>0.36</v>
      </c>
      <c r="E32" s="3">
        <v>750</v>
      </c>
      <c r="F32" s="3">
        <v>12</v>
      </c>
      <c r="G32" s="3">
        <v>12</v>
      </c>
      <c r="H32" s="3">
        <v>0</v>
      </c>
      <c r="I32" s="3">
        <v>0</v>
      </c>
      <c r="J32" s="3">
        <v>0</v>
      </c>
      <c r="K32" s="3">
        <v>0</v>
      </c>
      <c r="L32" s="3" t="s">
        <v>17</v>
      </c>
      <c r="M32" s="3" t="s">
        <v>21</v>
      </c>
      <c r="N32" s="2"/>
      <c r="O32" s="2"/>
      <c r="P32" s="3" t="str">
        <f>IF(OR(COUNTIF('ثبت لیبل'!$B$11:$B$1010,TRIM(LEFT(C32,FIND("-",C32&amp;"-")-1)))&gt;0,COUNTIF('ثبت لیبل'!$B$11:$B$1010,SUBSTITUTE(TRIM(LEFT(C32,FIND("-",C32&amp;"-")-1)),"GD",""))&gt;0),"موجود","")</f>
        <v/>
      </c>
    </row>
    <row r="33" spans="1:16">
      <c r="A33" s="3">
        <v>32</v>
      </c>
      <c r="B33" s="3" t="s">
        <v>15</v>
      </c>
      <c r="C33" s="3" t="s">
        <v>53</v>
      </c>
      <c r="D33" s="3">
        <v>0.49</v>
      </c>
      <c r="E33" s="3">
        <v>750</v>
      </c>
      <c r="F33" s="3">
        <v>12</v>
      </c>
      <c r="G33" s="3">
        <v>12</v>
      </c>
      <c r="H33" s="3">
        <v>0</v>
      </c>
      <c r="I33" s="3">
        <v>0</v>
      </c>
      <c r="J33" s="3">
        <v>0</v>
      </c>
      <c r="K33" s="3">
        <v>0</v>
      </c>
      <c r="L33" s="3" t="s">
        <v>17</v>
      </c>
      <c r="M33" s="3" t="s">
        <v>21</v>
      </c>
      <c r="N33" s="2"/>
      <c r="O33" s="2"/>
      <c r="P33" s="3" t="str">
        <f>IF(OR(COUNTIF('ثبت لیبل'!$B$11:$B$1010,TRIM(LEFT(C33,FIND("-",C33&amp;"-")-1)))&gt;0,COUNTIF('ثبت لیبل'!$B$11:$B$1010,SUBSTITUTE(TRIM(LEFT(C33,FIND("-",C33&amp;"-")-1)),"GD",""))&gt;0),"موجود","")</f>
        <v/>
      </c>
    </row>
    <row r="34" spans="1:16">
      <c r="A34" s="3">
        <v>33</v>
      </c>
      <c r="B34" s="3" t="s">
        <v>15</v>
      </c>
      <c r="C34" s="3" t="s">
        <v>54</v>
      </c>
      <c r="D34" s="3">
        <v>0.97</v>
      </c>
      <c r="E34" s="3">
        <v>750</v>
      </c>
      <c r="F34" s="3">
        <v>19</v>
      </c>
      <c r="G34" s="3">
        <v>19</v>
      </c>
      <c r="H34" s="3">
        <v>0</v>
      </c>
      <c r="I34" s="3">
        <v>0</v>
      </c>
      <c r="J34" s="3">
        <v>0</v>
      </c>
      <c r="K34" s="3">
        <v>0</v>
      </c>
      <c r="L34" s="3" t="s">
        <v>17</v>
      </c>
      <c r="M34" s="3" t="s">
        <v>43</v>
      </c>
      <c r="N34" s="2"/>
      <c r="O34" s="2"/>
      <c r="P34" s="3" t="str">
        <f>IF(OR(COUNTIF('ثبت لیبل'!$B$11:$B$1010,TRIM(LEFT(C34,FIND("-",C34&amp;"-")-1)))&gt;0,COUNTIF('ثبت لیبل'!$B$11:$B$1010,SUBSTITUTE(TRIM(LEFT(C34,FIND("-",C34&amp;"-")-1)),"GD",""))&gt;0),"موجود","")</f>
        <v/>
      </c>
    </row>
    <row r="35" spans="1:16">
      <c r="A35" s="3">
        <v>34</v>
      </c>
      <c r="B35" s="3" t="s">
        <v>15</v>
      </c>
      <c r="C35" s="3" t="s">
        <v>55</v>
      </c>
      <c r="D35" s="3">
        <v>0.97</v>
      </c>
      <c r="E35" s="3">
        <v>750</v>
      </c>
      <c r="F35" s="3">
        <v>19</v>
      </c>
      <c r="G35" s="3">
        <v>19</v>
      </c>
      <c r="H35" s="3">
        <v>0</v>
      </c>
      <c r="I35" s="3">
        <v>0</v>
      </c>
      <c r="J35" s="3">
        <v>0</v>
      </c>
      <c r="K35" s="3">
        <v>0</v>
      </c>
      <c r="L35" s="3" t="s">
        <v>17</v>
      </c>
      <c r="M35" s="3" t="s">
        <v>43</v>
      </c>
      <c r="N35" s="2"/>
      <c r="O35" s="2"/>
      <c r="P35" s="3" t="str">
        <f>IF(OR(COUNTIF('ثبت لیبل'!$B$11:$B$1010,TRIM(LEFT(C35,FIND("-",C35&amp;"-")-1)))&gt;0,COUNTIF('ثبت لیبل'!$B$11:$B$1010,SUBSTITUTE(TRIM(LEFT(C35,FIND("-",C35&amp;"-")-1)),"GD",""))&gt;0),"موجود","")</f>
        <v/>
      </c>
    </row>
    <row r="36" spans="1:16">
      <c r="A36" s="3">
        <v>35</v>
      </c>
      <c r="B36" s="3" t="s">
        <v>15</v>
      </c>
      <c r="C36" s="3" t="s">
        <v>56</v>
      </c>
      <c r="D36" s="3">
        <v>1.24</v>
      </c>
      <c r="E36" s="3">
        <v>750</v>
      </c>
      <c r="F36" s="3">
        <v>20</v>
      </c>
      <c r="G36" s="3">
        <v>20</v>
      </c>
      <c r="H36" s="3">
        <v>0</v>
      </c>
      <c r="I36" s="3">
        <v>0</v>
      </c>
      <c r="J36" s="3">
        <v>0</v>
      </c>
      <c r="K36" s="3">
        <v>0</v>
      </c>
      <c r="L36" s="3" t="s">
        <v>17</v>
      </c>
      <c r="M36" s="3" t="s">
        <v>46</v>
      </c>
      <c r="N36" s="2"/>
      <c r="O36" s="2"/>
      <c r="P36" s="3" t="str">
        <f>IF(OR(COUNTIF('ثبت لیبل'!$B$11:$B$1010,TRIM(LEFT(C36,FIND("-",C36&amp;"-")-1)))&gt;0,COUNTIF('ثبت لیبل'!$B$11:$B$1010,SUBSTITUTE(TRIM(LEFT(C36,FIND("-",C36&amp;"-")-1)),"GD",""))&gt;0),"موجود","")</f>
        <v/>
      </c>
    </row>
    <row r="37" spans="1:16">
      <c r="A37" s="3">
        <v>36</v>
      </c>
      <c r="B37" s="3" t="s">
        <v>15</v>
      </c>
      <c r="C37" s="3" t="s">
        <v>57</v>
      </c>
      <c r="D37" s="3">
        <v>1.37</v>
      </c>
      <c r="E37" s="3">
        <v>750</v>
      </c>
      <c r="F37" s="3">
        <v>20</v>
      </c>
      <c r="G37" s="3">
        <v>20</v>
      </c>
      <c r="H37" s="3">
        <v>0</v>
      </c>
      <c r="I37" s="3">
        <v>0</v>
      </c>
      <c r="J37" s="3">
        <v>0</v>
      </c>
      <c r="K37" s="3">
        <v>0</v>
      </c>
      <c r="L37" s="3" t="s">
        <v>17</v>
      </c>
      <c r="M37" s="3" t="s">
        <v>46</v>
      </c>
      <c r="N37" s="2"/>
      <c r="O37" s="2"/>
      <c r="P37" s="3" t="str">
        <f>IF(OR(COUNTIF('ثبت لیبل'!$B$11:$B$1010,TRIM(LEFT(C37,FIND("-",C37&amp;"-")-1)))&gt;0,COUNTIF('ثبت لیبل'!$B$11:$B$1010,SUBSTITUTE(TRIM(LEFT(C37,FIND("-",C37&amp;"-")-1)),"GD",""))&gt;0),"موجود","")</f>
        <v/>
      </c>
    </row>
    <row r="38" spans="1:16">
      <c r="A38" s="3">
        <v>37</v>
      </c>
      <c r="B38" s="3" t="s">
        <v>15</v>
      </c>
      <c r="C38" s="3" t="s">
        <v>58</v>
      </c>
      <c r="D38" s="3">
        <v>1.1200000000000001</v>
      </c>
      <c r="E38" s="3">
        <v>750</v>
      </c>
      <c r="F38" s="3">
        <v>20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 t="s">
        <v>17</v>
      </c>
      <c r="M38" s="3" t="s">
        <v>46</v>
      </c>
      <c r="N38" s="2"/>
      <c r="O38" s="2"/>
      <c r="P38" s="3" t="str">
        <f>IF(OR(COUNTIF('ثبت لیبل'!$B$11:$B$1010,TRIM(LEFT(C38,FIND("-",C38&amp;"-")-1)))&gt;0,COUNTIF('ثبت لیبل'!$B$11:$B$1010,SUBSTITUTE(TRIM(LEFT(C38,FIND("-",C38&amp;"-")-1)),"GD",""))&gt;0),"موجود","")</f>
        <v/>
      </c>
    </row>
    <row r="39" spans="1:16">
      <c r="A39" s="3">
        <v>38</v>
      </c>
      <c r="B39" s="3" t="s">
        <v>15</v>
      </c>
      <c r="C39" s="3" t="s">
        <v>59</v>
      </c>
      <c r="D39" s="3">
        <v>1.0900000000000001</v>
      </c>
      <c r="E39" s="3">
        <v>750</v>
      </c>
      <c r="F39" s="3">
        <v>11</v>
      </c>
      <c r="G39" s="3">
        <v>11</v>
      </c>
      <c r="H39" s="3">
        <v>0</v>
      </c>
      <c r="I39" s="3">
        <v>0</v>
      </c>
      <c r="J39" s="3">
        <v>0</v>
      </c>
      <c r="K39" s="3">
        <v>0</v>
      </c>
      <c r="L39" s="3" t="s">
        <v>17</v>
      </c>
      <c r="M39" s="3" t="s">
        <v>60</v>
      </c>
      <c r="N39" s="2"/>
      <c r="O39" s="2"/>
      <c r="P39" s="3" t="str">
        <f>IF(OR(COUNTIF('ثبت لیبل'!$B$11:$B$1010,TRIM(LEFT(C39,FIND("-",C39&amp;"-")-1)))&gt;0,COUNTIF('ثبت لیبل'!$B$11:$B$1010,SUBSTITUTE(TRIM(LEFT(C39,FIND("-",C39&amp;"-")-1)),"GD",""))&gt;0),"موجود","")</f>
        <v/>
      </c>
    </row>
    <row r="40" spans="1:16">
      <c r="A40" s="3">
        <v>39</v>
      </c>
      <c r="B40" s="3" t="s">
        <v>15</v>
      </c>
      <c r="C40" s="3" t="s">
        <v>61</v>
      </c>
      <c r="D40" s="3">
        <v>1.67</v>
      </c>
      <c r="E40" s="3">
        <v>750</v>
      </c>
      <c r="F40" s="3">
        <v>11</v>
      </c>
      <c r="G40" s="3">
        <v>11</v>
      </c>
      <c r="H40" s="3">
        <v>0</v>
      </c>
      <c r="I40" s="3">
        <v>0</v>
      </c>
      <c r="J40" s="3">
        <v>0</v>
      </c>
      <c r="K40" s="3">
        <v>0</v>
      </c>
      <c r="L40" s="3" t="s">
        <v>17</v>
      </c>
      <c r="M40" s="3" t="s">
        <v>60</v>
      </c>
      <c r="N40" s="2"/>
      <c r="O40" s="2"/>
      <c r="P40" s="3" t="str">
        <f>IF(OR(COUNTIF('ثبت لیبل'!$B$11:$B$1010,TRIM(LEFT(C40,FIND("-",C40&amp;"-")-1)))&gt;0,COUNTIF('ثبت لیبل'!$B$11:$B$1010,SUBSTITUTE(TRIM(LEFT(C40,FIND("-",C40&amp;"-")-1)),"GD",""))&gt;0),"موجود","")</f>
        <v/>
      </c>
    </row>
    <row r="41" spans="1:16">
      <c r="A41" s="3">
        <v>40</v>
      </c>
      <c r="B41" s="3" t="s">
        <v>15</v>
      </c>
      <c r="C41" s="3" t="s">
        <v>62</v>
      </c>
      <c r="D41" s="3">
        <v>1.28</v>
      </c>
      <c r="E41" s="3">
        <v>750</v>
      </c>
      <c r="F41" s="3">
        <v>9</v>
      </c>
      <c r="G41" s="3">
        <v>9</v>
      </c>
      <c r="H41" s="3">
        <v>0</v>
      </c>
      <c r="I41" s="3">
        <v>0</v>
      </c>
      <c r="J41" s="3">
        <v>0</v>
      </c>
      <c r="K41" s="3">
        <v>0</v>
      </c>
      <c r="L41" s="3" t="s">
        <v>63</v>
      </c>
      <c r="M41" s="3" t="s">
        <v>60</v>
      </c>
      <c r="N41" s="2"/>
      <c r="O41" s="2"/>
      <c r="P41" s="3" t="str">
        <f>IF(OR(COUNTIF('ثبت لیبل'!$B$11:$B$1010,TRIM(LEFT(C41,FIND("-",C41&amp;"-")-1)))&gt;0,COUNTIF('ثبت لیبل'!$B$11:$B$1010,SUBSTITUTE(TRIM(LEFT(C41,FIND("-",C41&amp;"-")-1)),"GD",""))&gt;0),"موجود","")</f>
        <v/>
      </c>
    </row>
    <row r="42" spans="1:16">
      <c r="A42" s="3">
        <v>41</v>
      </c>
      <c r="B42" s="3" t="s">
        <v>15</v>
      </c>
      <c r="C42" s="3" t="s">
        <v>64</v>
      </c>
      <c r="D42" s="3">
        <v>0.92</v>
      </c>
      <c r="E42" s="3">
        <v>750</v>
      </c>
      <c r="F42" s="3">
        <v>9</v>
      </c>
      <c r="G42" s="3">
        <v>9</v>
      </c>
      <c r="H42" s="3">
        <v>0</v>
      </c>
      <c r="I42" s="3">
        <v>0</v>
      </c>
      <c r="J42" s="3">
        <v>0</v>
      </c>
      <c r="K42" s="3">
        <v>0</v>
      </c>
      <c r="L42" s="3" t="s">
        <v>63</v>
      </c>
      <c r="M42" s="3" t="s">
        <v>60</v>
      </c>
      <c r="N42" s="2"/>
      <c r="O42" s="2"/>
      <c r="P42" s="3" t="str">
        <f>IF(OR(COUNTIF('ثبت لیبل'!$B$11:$B$1010,TRIM(LEFT(C42,FIND("-",C42&amp;"-")-1)))&gt;0,COUNTIF('ثبت لیبل'!$B$11:$B$1010,SUBSTITUTE(TRIM(LEFT(C42,FIND("-",C42&amp;"-")-1)),"GD",""))&gt;0),"موجود","")</f>
        <v/>
      </c>
    </row>
    <row r="43" spans="1:16">
      <c r="A43" s="3">
        <v>42</v>
      </c>
      <c r="B43" s="3" t="s">
        <v>15</v>
      </c>
      <c r="C43" s="3" t="s">
        <v>65</v>
      </c>
      <c r="D43" s="3">
        <v>1.25</v>
      </c>
      <c r="E43" s="3">
        <v>750</v>
      </c>
      <c r="F43" s="3">
        <v>11</v>
      </c>
      <c r="G43" s="3">
        <v>11</v>
      </c>
      <c r="H43" s="3">
        <v>0</v>
      </c>
      <c r="I43" s="3">
        <v>0</v>
      </c>
      <c r="J43" s="3">
        <v>0</v>
      </c>
      <c r="K43" s="3">
        <v>0</v>
      </c>
      <c r="L43" s="3" t="s">
        <v>17</v>
      </c>
      <c r="M43" s="3" t="s">
        <v>43</v>
      </c>
      <c r="N43" s="2"/>
      <c r="O43" s="2"/>
      <c r="P43" s="3" t="str">
        <f>IF(OR(COUNTIF('ثبت لیبل'!$B$11:$B$1010,TRIM(LEFT(C43,FIND("-",C43&amp;"-")-1)))&gt;0,COUNTIF('ثبت لیبل'!$B$11:$B$1010,SUBSTITUTE(TRIM(LEFT(C43,FIND("-",C43&amp;"-")-1)),"GD",""))&gt;0),"موجود","")</f>
        <v/>
      </c>
    </row>
    <row r="44" spans="1:16">
      <c r="A44" s="3">
        <v>43</v>
      </c>
      <c r="B44" s="3" t="s">
        <v>15</v>
      </c>
      <c r="C44" s="3" t="s">
        <v>66</v>
      </c>
      <c r="D44" s="3">
        <v>1.18</v>
      </c>
      <c r="E44" s="3">
        <v>750</v>
      </c>
      <c r="F44" s="3">
        <v>11</v>
      </c>
      <c r="G44" s="3">
        <v>11</v>
      </c>
      <c r="H44" s="3">
        <v>0</v>
      </c>
      <c r="I44" s="3">
        <v>0</v>
      </c>
      <c r="J44" s="3">
        <v>0</v>
      </c>
      <c r="K44" s="3">
        <v>0</v>
      </c>
      <c r="L44" s="3" t="s">
        <v>17</v>
      </c>
      <c r="M44" s="3" t="s">
        <v>43</v>
      </c>
      <c r="N44" s="2"/>
      <c r="O44" s="2"/>
      <c r="P44" s="3" t="str">
        <f>IF(OR(COUNTIF('ثبت لیبل'!$B$11:$B$1010,TRIM(LEFT(C44,FIND("-",C44&amp;"-")-1)))&gt;0,COUNTIF('ثبت لیبل'!$B$11:$B$1010,SUBSTITUTE(TRIM(LEFT(C44,FIND("-",C44&amp;"-")-1)),"GD",""))&gt;0),"موجود","")</f>
        <v/>
      </c>
    </row>
    <row r="45" spans="1:16">
      <c r="A45" s="3">
        <v>44</v>
      </c>
      <c r="B45" s="3" t="s">
        <v>15</v>
      </c>
      <c r="C45" s="3" t="s">
        <v>67</v>
      </c>
      <c r="D45" s="3">
        <v>1.27</v>
      </c>
      <c r="E45" s="3">
        <v>750</v>
      </c>
      <c r="F45" s="3">
        <v>11</v>
      </c>
      <c r="G45" s="3">
        <v>11</v>
      </c>
      <c r="H45" s="3">
        <v>0</v>
      </c>
      <c r="I45" s="3">
        <v>0</v>
      </c>
      <c r="J45" s="3">
        <v>0</v>
      </c>
      <c r="K45" s="3">
        <v>0</v>
      </c>
      <c r="L45" s="3" t="s">
        <v>17</v>
      </c>
      <c r="M45" s="3" t="s">
        <v>43</v>
      </c>
      <c r="N45" s="2"/>
      <c r="O45" s="2"/>
      <c r="P45" s="3" t="str">
        <f>IF(OR(COUNTIF('ثبت لیبل'!$B$11:$B$1010,TRIM(LEFT(C45,FIND("-",C45&amp;"-")-1)))&gt;0,COUNTIF('ثبت لیبل'!$B$11:$B$1010,SUBSTITUTE(TRIM(LEFT(C45,FIND("-",C45&amp;"-")-1)),"GD",""))&gt;0),"موجود","")</f>
        <v/>
      </c>
    </row>
    <row r="46" spans="1:16">
      <c r="A46" s="3">
        <v>45</v>
      </c>
      <c r="B46" s="3" t="s">
        <v>15</v>
      </c>
      <c r="C46" s="3" t="s">
        <v>68</v>
      </c>
      <c r="D46" s="3">
        <v>1.17</v>
      </c>
      <c r="E46" s="3">
        <v>750</v>
      </c>
      <c r="F46" s="3">
        <v>11</v>
      </c>
      <c r="G46" s="3">
        <v>11</v>
      </c>
      <c r="H46" s="3">
        <v>0</v>
      </c>
      <c r="I46" s="3">
        <v>0</v>
      </c>
      <c r="J46" s="3">
        <v>0</v>
      </c>
      <c r="K46" s="3">
        <v>0</v>
      </c>
      <c r="L46" s="3" t="s">
        <v>17</v>
      </c>
      <c r="M46" s="3" t="s">
        <v>43</v>
      </c>
      <c r="N46" s="2"/>
      <c r="O46" s="2"/>
      <c r="P46" s="3" t="str">
        <f>IF(OR(COUNTIF('ثبت لیبل'!$B$11:$B$1010,TRIM(LEFT(C46,FIND("-",C46&amp;"-")-1)))&gt;0,COUNTIF('ثبت لیبل'!$B$11:$B$1010,SUBSTITUTE(TRIM(LEFT(C46,FIND("-",C46&amp;"-")-1)),"GD",""))&gt;0),"موجود","")</f>
        <v/>
      </c>
    </row>
    <row r="47" spans="1:16">
      <c r="A47" s="3">
        <v>46</v>
      </c>
      <c r="B47" s="3" t="s">
        <v>15</v>
      </c>
      <c r="C47" s="3" t="s">
        <v>69</v>
      </c>
      <c r="D47" s="3">
        <v>6.34</v>
      </c>
      <c r="E47" s="3">
        <v>750</v>
      </c>
      <c r="F47" s="3">
        <v>11</v>
      </c>
      <c r="G47" s="3">
        <v>11</v>
      </c>
      <c r="H47" s="3">
        <v>0</v>
      </c>
      <c r="I47" s="3">
        <v>0</v>
      </c>
      <c r="J47" s="3">
        <v>0</v>
      </c>
      <c r="K47" s="3">
        <v>0</v>
      </c>
      <c r="L47" s="3" t="s">
        <v>17</v>
      </c>
      <c r="M47" s="3" t="s">
        <v>70</v>
      </c>
      <c r="N47" s="2"/>
      <c r="O47" s="2"/>
      <c r="P47" s="3" t="str">
        <f>IF(OR(COUNTIF('ثبت لیبل'!$B$11:$B$1010,TRIM(LEFT(C47,FIND("-",C47&amp;"-")-1)))&gt;0,COUNTIF('ثبت لیبل'!$B$11:$B$1010,SUBSTITUTE(TRIM(LEFT(C47,FIND("-",C47&amp;"-")-1)),"GD",""))&gt;0),"موجود","")</f>
        <v/>
      </c>
    </row>
    <row r="48" spans="1:16">
      <c r="A48" s="3">
        <v>47</v>
      </c>
      <c r="B48" s="3" t="s">
        <v>15</v>
      </c>
      <c r="C48" s="3" t="s">
        <v>71</v>
      </c>
      <c r="D48" s="3">
        <v>6.3</v>
      </c>
      <c r="E48" s="3">
        <v>750</v>
      </c>
      <c r="F48" s="3">
        <v>11</v>
      </c>
      <c r="G48" s="3">
        <v>11</v>
      </c>
      <c r="H48" s="3">
        <v>0</v>
      </c>
      <c r="I48" s="3">
        <v>0</v>
      </c>
      <c r="J48" s="3">
        <v>0</v>
      </c>
      <c r="K48" s="3">
        <v>0</v>
      </c>
      <c r="L48" s="3" t="s">
        <v>17</v>
      </c>
      <c r="M48" s="3" t="s">
        <v>70</v>
      </c>
      <c r="N48" s="2"/>
      <c r="O48" s="2"/>
      <c r="P48" s="3" t="str">
        <f>IF(OR(COUNTIF('ثبت لیبل'!$B$11:$B$1010,TRIM(LEFT(C48,FIND("-",C48&amp;"-")-1)))&gt;0,COUNTIF('ثبت لیبل'!$B$11:$B$1010,SUBSTITUTE(TRIM(LEFT(C48,FIND("-",C48&amp;"-")-1)),"GD",""))&gt;0),"موجود","")</f>
        <v/>
      </c>
    </row>
    <row r="49" spans="1:16">
      <c r="A49" s="3">
        <v>48</v>
      </c>
      <c r="B49" s="3" t="s">
        <v>15</v>
      </c>
      <c r="C49" s="3" t="s">
        <v>72</v>
      </c>
      <c r="D49" s="3">
        <v>6.67</v>
      </c>
      <c r="E49" s="3">
        <v>750</v>
      </c>
      <c r="F49" s="3">
        <v>11</v>
      </c>
      <c r="G49" s="3">
        <v>11</v>
      </c>
      <c r="H49" s="3">
        <v>0</v>
      </c>
      <c r="I49" s="3">
        <v>0</v>
      </c>
      <c r="J49" s="3">
        <v>0</v>
      </c>
      <c r="K49" s="3">
        <v>0</v>
      </c>
      <c r="L49" s="3" t="s">
        <v>17</v>
      </c>
      <c r="M49" s="3" t="s">
        <v>70</v>
      </c>
      <c r="N49" s="2"/>
      <c r="O49" s="2"/>
      <c r="P49" s="3" t="str">
        <f>IF(OR(COUNTIF('ثبت لیبل'!$B$11:$B$1010,TRIM(LEFT(C49,FIND("-",C49&amp;"-")-1)))&gt;0,COUNTIF('ثبت لیبل'!$B$11:$B$1010,SUBSTITUTE(TRIM(LEFT(C49,FIND("-",C49&amp;"-")-1)),"GD",""))&gt;0),"موجود","")</f>
        <v/>
      </c>
    </row>
    <row r="50" spans="1:16">
      <c r="A50" s="3">
        <v>49</v>
      </c>
      <c r="B50" s="3" t="s">
        <v>15</v>
      </c>
      <c r="C50" s="3" t="s">
        <v>73</v>
      </c>
      <c r="D50" s="3">
        <v>6.63</v>
      </c>
      <c r="E50" s="3">
        <v>750</v>
      </c>
      <c r="F50" s="3">
        <v>11</v>
      </c>
      <c r="G50" s="3">
        <v>11</v>
      </c>
      <c r="H50" s="3">
        <v>0</v>
      </c>
      <c r="I50" s="3">
        <v>0</v>
      </c>
      <c r="J50" s="3">
        <v>0</v>
      </c>
      <c r="K50" s="3">
        <v>0</v>
      </c>
      <c r="L50" s="3" t="s">
        <v>17</v>
      </c>
      <c r="M50" s="3" t="s">
        <v>70</v>
      </c>
      <c r="N50" s="2"/>
      <c r="O50" s="2"/>
      <c r="P50" s="3" t="str">
        <f>IF(OR(COUNTIF('ثبت لیبل'!$B$11:$B$1010,TRIM(LEFT(C50,FIND("-",C50&amp;"-")-1)))&gt;0,COUNTIF('ثبت لیبل'!$B$11:$B$1010,SUBSTITUTE(TRIM(LEFT(C50,FIND("-",C50&amp;"-")-1)),"GD",""))&gt;0),"موجود","")</f>
        <v/>
      </c>
    </row>
    <row r="51" spans="1:16">
      <c r="A51" s="3">
        <v>50</v>
      </c>
      <c r="B51" s="3" t="s">
        <v>15</v>
      </c>
      <c r="C51" s="3" t="s">
        <v>74</v>
      </c>
      <c r="D51" s="3">
        <v>7.65</v>
      </c>
      <c r="E51" s="3">
        <v>750</v>
      </c>
      <c r="F51" s="3">
        <v>9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 t="s">
        <v>17</v>
      </c>
      <c r="M51" s="3" t="s">
        <v>18</v>
      </c>
      <c r="N51" s="2"/>
      <c r="O51" s="2"/>
      <c r="P51" s="3" t="str">
        <f>IF(OR(COUNTIF('ثبت لیبل'!$B$11:$B$1010,TRIM(LEFT(C51,FIND("-",C51&amp;"-")-1)))&gt;0,COUNTIF('ثبت لیبل'!$B$11:$B$1010,SUBSTITUTE(TRIM(LEFT(C51,FIND("-",C51&amp;"-")-1)),"GD",""))&gt;0),"موجود","")</f>
        <v/>
      </c>
    </row>
    <row r="52" spans="1:16">
      <c r="A52" s="3">
        <v>51</v>
      </c>
      <c r="B52" s="3" t="s">
        <v>15</v>
      </c>
      <c r="C52" s="3" t="s">
        <v>75</v>
      </c>
      <c r="D52" s="3">
        <v>1.02</v>
      </c>
      <c r="E52" s="3">
        <v>750</v>
      </c>
      <c r="F52" s="3">
        <v>11</v>
      </c>
      <c r="G52" s="3">
        <v>11</v>
      </c>
      <c r="H52" s="3">
        <v>0</v>
      </c>
      <c r="I52" s="3">
        <v>0</v>
      </c>
      <c r="J52" s="3">
        <v>0</v>
      </c>
      <c r="K52" s="3">
        <v>0</v>
      </c>
      <c r="L52" s="3" t="s">
        <v>17</v>
      </c>
      <c r="M52" s="3" t="s">
        <v>76</v>
      </c>
      <c r="N52" s="2"/>
      <c r="O52" s="2"/>
      <c r="P52" s="3" t="str">
        <f>IF(OR(COUNTIF('ثبت لیبل'!$B$11:$B$1010,TRIM(LEFT(C52,FIND("-",C52&amp;"-")-1)))&gt;0,COUNTIF('ثبت لیبل'!$B$11:$B$1010,SUBSTITUTE(TRIM(LEFT(C52,FIND("-",C52&amp;"-")-1)),"GD",""))&gt;0),"موجود","")</f>
        <v/>
      </c>
    </row>
    <row r="53" spans="1:16">
      <c r="A53" s="3">
        <v>52</v>
      </c>
      <c r="B53" s="3" t="s">
        <v>15</v>
      </c>
      <c r="C53" s="3" t="s">
        <v>77</v>
      </c>
      <c r="D53" s="3">
        <v>0.78</v>
      </c>
      <c r="E53" s="3">
        <v>750</v>
      </c>
      <c r="F53" s="3">
        <v>11</v>
      </c>
      <c r="G53" s="3">
        <v>11</v>
      </c>
      <c r="H53" s="3">
        <v>0</v>
      </c>
      <c r="I53" s="3">
        <v>0</v>
      </c>
      <c r="J53" s="3">
        <v>0</v>
      </c>
      <c r="K53" s="3">
        <v>0</v>
      </c>
      <c r="L53" s="3" t="s">
        <v>17</v>
      </c>
      <c r="M53" s="3" t="s">
        <v>76</v>
      </c>
      <c r="N53" s="2"/>
      <c r="O53" s="2"/>
      <c r="P53" s="3" t="str">
        <f>IF(OR(COUNTIF('ثبت لیبل'!$B$11:$B$1010,TRIM(LEFT(C53,FIND("-",C53&amp;"-")-1)))&gt;0,COUNTIF('ثبت لیبل'!$B$11:$B$1010,SUBSTITUTE(TRIM(LEFT(C53,FIND("-",C53&amp;"-")-1)),"GD",""))&gt;0),"موجود","")</f>
        <v/>
      </c>
    </row>
    <row r="54" spans="1:16">
      <c r="A54" s="3">
        <v>53</v>
      </c>
      <c r="B54" s="3" t="s">
        <v>15</v>
      </c>
      <c r="C54" s="3" t="s">
        <v>78</v>
      </c>
      <c r="D54" s="3">
        <v>1.08</v>
      </c>
      <c r="E54" s="3">
        <v>750</v>
      </c>
      <c r="F54" s="3">
        <v>11</v>
      </c>
      <c r="G54" s="3">
        <v>11</v>
      </c>
      <c r="H54" s="3">
        <v>0</v>
      </c>
      <c r="I54" s="3">
        <v>0</v>
      </c>
      <c r="J54" s="3">
        <v>0</v>
      </c>
      <c r="K54" s="3">
        <v>0</v>
      </c>
      <c r="L54" s="3" t="s">
        <v>17</v>
      </c>
      <c r="M54" s="3" t="s">
        <v>76</v>
      </c>
      <c r="N54" s="2"/>
      <c r="O54" s="2"/>
      <c r="P54" s="3" t="str">
        <f>IF(OR(COUNTIF('ثبت لیبل'!$B$11:$B$1010,TRIM(LEFT(C54,FIND("-",C54&amp;"-")-1)))&gt;0,COUNTIF('ثبت لیبل'!$B$11:$B$1010,SUBSTITUTE(TRIM(LEFT(C54,FIND("-",C54&amp;"-")-1)),"GD",""))&gt;0),"موجود","")</f>
        <v/>
      </c>
    </row>
    <row r="55" spans="1:16">
      <c r="A55" s="3">
        <v>54</v>
      </c>
      <c r="B55" s="3" t="s">
        <v>15</v>
      </c>
      <c r="C55" s="3" t="s">
        <v>79</v>
      </c>
      <c r="D55" s="3">
        <v>0.87</v>
      </c>
      <c r="E55" s="3">
        <v>750</v>
      </c>
      <c r="F55" s="3">
        <v>11</v>
      </c>
      <c r="G55" s="3">
        <v>11</v>
      </c>
      <c r="H55" s="3">
        <v>0</v>
      </c>
      <c r="I55" s="3">
        <v>0</v>
      </c>
      <c r="J55" s="3">
        <v>0</v>
      </c>
      <c r="K55" s="3">
        <v>0</v>
      </c>
      <c r="L55" s="3" t="s">
        <v>17</v>
      </c>
      <c r="M55" s="3" t="s">
        <v>76</v>
      </c>
      <c r="N55" s="2"/>
      <c r="O55" s="2"/>
      <c r="P55" s="3" t="str">
        <f>IF(OR(COUNTIF('ثبت لیبل'!$B$11:$B$1010,TRIM(LEFT(C55,FIND("-",C55&amp;"-")-1)))&gt;0,COUNTIF('ثبت لیبل'!$B$11:$B$1010,SUBSTITUTE(TRIM(LEFT(C55,FIND("-",C55&amp;"-")-1)),"GD",""))&gt;0),"موجود","")</f>
        <v/>
      </c>
    </row>
    <row r="56" spans="1:16">
      <c r="A56" s="3">
        <v>55</v>
      </c>
      <c r="B56" s="3" t="s">
        <v>15</v>
      </c>
      <c r="C56" s="3" t="s">
        <v>80</v>
      </c>
      <c r="D56" s="3">
        <v>0.88</v>
      </c>
      <c r="E56" s="3">
        <v>750</v>
      </c>
      <c r="F56" s="3">
        <v>11</v>
      </c>
      <c r="G56" s="3">
        <v>11</v>
      </c>
      <c r="H56" s="3">
        <v>0</v>
      </c>
      <c r="I56" s="3">
        <v>0</v>
      </c>
      <c r="J56" s="3">
        <v>0</v>
      </c>
      <c r="K56" s="3">
        <v>0</v>
      </c>
      <c r="L56" s="3" t="s">
        <v>17</v>
      </c>
      <c r="M56" s="3" t="s">
        <v>76</v>
      </c>
      <c r="N56" s="2"/>
      <c r="O56" s="2"/>
      <c r="P56" s="3" t="str">
        <f>IF(OR(COUNTIF('ثبت لیبل'!$B$11:$B$1010,TRIM(LEFT(C56,FIND("-",C56&amp;"-")-1)))&gt;0,COUNTIF('ثبت لیبل'!$B$11:$B$1010,SUBSTITUTE(TRIM(LEFT(C56,FIND("-",C56&amp;"-")-1)),"GD",""))&gt;0),"موجود","")</f>
        <v/>
      </c>
    </row>
    <row r="57" spans="1:16">
      <c r="A57" s="3">
        <v>56</v>
      </c>
      <c r="B57" s="3" t="s">
        <v>15</v>
      </c>
      <c r="C57" s="3" t="s">
        <v>81</v>
      </c>
      <c r="D57" s="3">
        <v>3.24</v>
      </c>
      <c r="E57" s="3">
        <v>750</v>
      </c>
      <c r="F57" s="3">
        <v>8</v>
      </c>
      <c r="G57" s="3">
        <v>8</v>
      </c>
      <c r="H57" s="3">
        <v>0</v>
      </c>
      <c r="I57" s="3">
        <v>0</v>
      </c>
      <c r="J57" s="3">
        <v>0</v>
      </c>
      <c r="K57" s="3">
        <v>0</v>
      </c>
      <c r="L57" s="3" t="s">
        <v>17</v>
      </c>
      <c r="M57" s="3" t="s">
        <v>46</v>
      </c>
      <c r="N57" s="2"/>
      <c r="O57" s="2"/>
      <c r="P57" s="3" t="str">
        <f>IF(OR(COUNTIF('ثبت لیبل'!$B$11:$B$1010,TRIM(LEFT(C57,FIND("-",C57&amp;"-")-1)))&gt;0,COUNTIF('ثبت لیبل'!$B$11:$B$1010,SUBSTITUTE(TRIM(LEFT(C57,FIND("-",C57&amp;"-")-1)),"GD",""))&gt;0),"موجود","")</f>
        <v/>
      </c>
    </row>
    <row r="58" spans="1:16">
      <c r="A58" s="3">
        <v>57</v>
      </c>
      <c r="B58" s="3" t="s">
        <v>15</v>
      </c>
      <c r="C58" s="3" t="s">
        <v>82</v>
      </c>
      <c r="D58" s="3">
        <v>3.36</v>
      </c>
      <c r="E58" s="3">
        <v>750</v>
      </c>
      <c r="F58" s="3">
        <v>8</v>
      </c>
      <c r="G58" s="3">
        <v>8</v>
      </c>
      <c r="H58" s="3">
        <v>0</v>
      </c>
      <c r="I58" s="3">
        <v>0</v>
      </c>
      <c r="J58" s="3">
        <v>0</v>
      </c>
      <c r="K58" s="3">
        <v>0</v>
      </c>
      <c r="L58" s="3" t="s">
        <v>17</v>
      </c>
      <c r="M58" s="3" t="s">
        <v>46</v>
      </c>
      <c r="N58" s="2"/>
      <c r="O58" s="2"/>
      <c r="P58" s="3" t="str">
        <f>IF(OR(COUNTIF('ثبت لیبل'!$B$11:$B$1010,TRIM(LEFT(C58,FIND("-",C58&amp;"-")-1)))&gt;0,COUNTIF('ثبت لیبل'!$B$11:$B$1010,SUBSTITUTE(TRIM(LEFT(C58,FIND("-",C58&amp;"-")-1)),"GD",""))&gt;0),"موجود","")</f>
        <v/>
      </c>
    </row>
    <row r="59" spans="1:16">
      <c r="A59" s="3">
        <v>58</v>
      </c>
      <c r="B59" s="3" t="s">
        <v>15</v>
      </c>
      <c r="C59" s="3" t="s">
        <v>83</v>
      </c>
      <c r="D59" s="3">
        <v>3.2</v>
      </c>
      <c r="E59" s="3">
        <v>750</v>
      </c>
      <c r="F59" s="3">
        <v>8</v>
      </c>
      <c r="G59" s="3">
        <v>8</v>
      </c>
      <c r="H59" s="3">
        <v>0</v>
      </c>
      <c r="I59" s="3">
        <v>0</v>
      </c>
      <c r="J59" s="3">
        <v>0</v>
      </c>
      <c r="K59" s="3">
        <v>0</v>
      </c>
      <c r="L59" s="3" t="s">
        <v>17</v>
      </c>
      <c r="M59" s="3" t="s">
        <v>46</v>
      </c>
      <c r="N59" s="2"/>
      <c r="O59" s="2"/>
      <c r="P59" s="3" t="str">
        <f>IF(OR(COUNTIF('ثبت لیبل'!$B$11:$B$1010,TRIM(LEFT(C59,FIND("-",C59&amp;"-")-1)))&gt;0,COUNTIF('ثبت لیبل'!$B$11:$B$1010,SUBSTITUTE(TRIM(LEFT(C59,FIND("-",C59&amp;"-")-1)),"GD",""))&gt;0),"موجود","")</f>
        <v/>
      </c>
    </row>
    <row r="60" spans="1:16">
      <c r="A60" s="3">
        <v>59</v>
      </c>
      <c r="B60" s="3" t="s">
        <v>15</v>
      </c>
      <c r="C60" s="3" t="s">
        <v>84</v>
      </c>
      <c r="D60" s="3">
        <v>3.12</v>
      </c>
      <c r="E60" s="3">
        <v>750</v>
      </c>
      <c r="F60" s="3">
        <v>8</v>
      </c>
      <c r="G60" s="3">
        <v>8</v>
      </c>
      <c r="H60" s="3">
        <v>0</v>
      </c>
      <c r="I60" s="3">
        <v>0</v>
      </c>
      <c r="J60" s="3">
        <v>0</v>
      </c>
      <c r="K60" s="3">
        <v>0</v>
      </c>
      <c r="L60" s="3" t="s">
        <v>17</v>
      </c>
      <c r="M60" s="3" t="s">
        <v>46</v>
      </c>
      <c r="N60" s="2"/>
      <c r="O60" s="2"/>
      <c r="P60" s="3" t="str">
        <f>IF(OR(COUNTIF('ثبت لیبل'!$B$11:$B$1010,TRIM(LEFT(C60,FIND("-",C60&amp;"-")-1)))&gt;0,COUNTIF('ثبت لیبل'!$B$11:$B$1010,SUBSTITUTE(TRIM(LEFT(C60,FIND("-",C60&amp;"-")-1)),"GD",""))&gt;0),"موجود","")</f>
        <v/>
      </c>
    </row>
    <row r="61" spans="1:16">
      <c r="A61" s="3">
        <v>60</v>
      </c>
      <c r="B61" s="3" t="s">
        <v>15</v>
      </c>
      <c r="C61" s="3" t="s">
        <v>85</v>
      </c>
      <c r="D61" s="3">
        <v>1.51</v>
      </c>
      <c r="E61" s="3">
        <v>750</v>
      </c>
      <c r="F61" s="3">
        <v>8</v>
      </c>
      <c r="G61" s="3">
        <v>8</v>
      </c>
      <c r="H61" s="3">
        <v>0</v>
      </c>
      <c r="I61" s="3">
        <v>0</v>
      </c>
      <c r="J61" s="3">
        <v>0</v>
      </c>
      <c r="K61" s="3">
        <v>0</v>
      </c>
      <c r="L61" s="3" t="s">
        <v>17</v>
      </c>
      <c r="M61" s="3" t="s">
        <v>46</v>
      </c>
      <c r="N61" s="2"/>
      <c r="O61" s="2"/>
      <c r="P61" s="3" t="str">
        <f>IF(OR(COUNTIF('ثبت لیبل'!$B$11:$B$1010,TRIM(LEFT(C61,FIND("-",C61&amp;"-")-1)))&gt;0,COUNTIF('ثبت لیبل'!$B$11:$B$1010,SUBSTITUTE(TRIM(LEFT(C61,FIND("-",C61&amp;"-")-1)),"GD",""))&gt;0),"موجود","")</f>
        <v/>
      </c>
    </row>
    <row r="62" spans="1:16">
      <c r="A62" s="3">
        <v>61</v>
      </c>
      <c r="B62" s="3" t="s">
        <v>15</v>
      </c>
      <c r="C62" s="3" t="s">
        <v>86</v>
      </c>
      <c r="D62" s="3">
        <v>0.78</v>
      </c>
      <c r="E62" s="3">
        <v>750</v>
      </c>
      <c r="F62" s="3">
        <v>11</v>
      </c>
      <c r="G62" s="3">
        <v>11</v>
      </c>
      <c r="H62" s="3">
        <v>0</v>
      </c>
      <c r="I62" s="3">
        <v>0</v>
      </c>
      <c r="J62" s="3">
        <v>0</v>
      </c>
      <c r="K62" s="3">
        <v>0</v>
      </c>
      <c r="L62" s="3" t="s">
        <v>17</v>
      </c>
      <c r="M62" s="3" t="s">
        <v>76</v>
      </c>
      <c r="N62" s="2"/>
      <c r="O62" s="2"/>
      <c r="P62" s="3" t="str">
        <f>IF(OR(COUNTIF('ثبت لیبل'!$B$11:$B$1010,TRIM(LEFT(C62,FIND("-",C62&amp;"-")-1)))&gt;0,COUNTIF('ثبت لیبل'!$B$11:$B$1010,SUBSTITUTE(TRIM(LEFT(C62,FIND("-",C62&amp;"-")-1)),"GD",""))&gt;0),"موجود","")</f>
        <v/>
      </c>
    </row>
    <row r="63" spans="1:16">
      <c r="A63" s="3">
        <v>62</v>
      </c>
      <c r="B63" s="3" t="s">
        <v>15</v>
      </c>
      <c r="C63" s="3" t="s">
        <v>87</v>
      </c>
      <c r="D63" s="3">
        <v>0.85</v>
      </c>
      <c r="E63" s="3">
        <v>750</v>
      </c>
      <c r="F63" s="3">
        <v>11</v>
      </c>
      <c r="G63" s="3">
        <v>11</v>
      </c>
      <c r="H63" s="3">
        <v>0</v>
      </c>
      <c r="I63" s="3">
        <v>0</v>
      </c>
      <c r="J63" s="3">
        <v>0</v>
      </c>
      <c r="K63" s="3">
        <v>0</v>
      </c>
      <c r="L63" s="3" t="s">
        <v>17</v>
      </c>
      <c r="M63" s="3" t="s">
        <v>76</v>
      </c>
      <c r="N63" s="2"/>
      <c r="O63" s="2"/>
      <c r="P63" s="3" t="str">
        <f>IF(OR(COUNTIF('ثبت لیبل'!$B$11:$B$1010,TRIM(LEFT(C63,FIND("-",C63&amp;"-")-1)))&gt;0,COUNTIF('ثبت لیبل'!$B$11:$B$1010,SUBSTITUTE(TRIM(LEFT(C63,FIND("-",C63&amp;"-")-1)),"GD",""))&gt;0),"موجود","")</f>
        <v/>
      </c>
    </row>
    <row r="64" spans="1:16">
      <c r="A64" s="3">
        <v>63</v>
      </c>
      <c r="B64" s="3" t="s">
        <v>15</v>
      </c>
      <c r="C64" s="3" t="s">
        <v>88</v>
      </c>
      <c r="D64" s="3">
        <v>0.71</v>
      </c>
      <c r="E64" s="3">
        <v>750</v>
      </c>
      <c r="F64" s="3">
        <v>12</v>
      </c>
      <c r="G64" s="3">
        <v>12</v>
      </c>
      <c r="H64" s="3">
        <v>0</v>
      </c>
      <c r="I64" s="3">
        <v>0</v>
      </c>
      <c r="J64" s="3">
        <v>0</v>
      </c>
      <c r="K64" s="3">
        <v>0</v>
      </c>
      <c r="L64" s="3" t="s">
        <v>17</v>
      </c>
      <c r="M64" s="3" t="s">
        <v>76</v>
      </c>
      <c r="N64" s="2"/>
      <c r="O64" s="2"/>
      <c r="P64" s="3" t="str">
        <f>IF(OR(COUNTIF('ثبت لیبل'!$B$11:$B$1010,TRIM(LEFT(C64,FIND("-",C64&amp;"-")-1)))&gt;0,COUNTIF('ثبت لیبل'!$B$11:$B$1010,SUBSTITUTE(TRIM(LEFT(C64,FIND("-",C64&amp;"-")-1)),"GD",""))&gt;0),"موجود","")</f>
        <v/>
      </c>
    </row>
    <row r="65" spans="1:16">
      <c r="A65" s="3">
        <v>64</v>
      </c>
      <c r="B65" s="3" t="s">
        <v>15</v>
      </c>
      <c r="C65" s="3" t="s">
        <v>89</v>
      </c>
      <c r="D65" s="3">
        <v>0.7</v>
      </c>
      <c r="E65" s="3">
        <v>750</v>
      </c>
      <c r="F65" s="3">
        <v>12</v>
      </c>
      <c r="G65" s="3">
        <v>12</v>
      </c>
      <c r="H65" s="3">
        <v>0</v>
      </c>
      <c r="I65" s="3">
        <v>0</v>
      </c>
      <c r="J65" s="3">
        <v>0</v>
      </c>
      <c r="K65" s="3">
        <v>0</v>
      </c>
      <c r="L65" s="3" t="s">
        <v>17</v>
      </c>
      <c r="M65" s="3" t="s">
        <v>76</v>
      </c>
      <c r="N65" s="2"/>
      <c r="O65" s="2"/>
      <c r="P65" s="3" t="str">
        <f>IF(OR(COUNTIF('ثبت لیبل'!$B$11:$B$1010,TRIM(LEFT(C65,FIND("-",C65&amp;"-")-1)))&gt;0,COUNTIF('ثبت لیبل'!$B$11:$B$1010,SUBSTITUTE(TRIM(LEFT(C65,FIND("-",C65&amp;"-")-1)),"GD",""))&gt;0),"موجود","")</f>
        <v/>
      </c>
    </row>
    <row r="66" spans="1:16">
      <c r="A66" s="3">
        <v>65</v>
      </c>
      <c r="B66" s="3" t="s">
        <v>15</v>
      </c>
      <c r="C66" s="3" t="s">
        <v>90</v>
      </c>
      <c r="D66" s="3">
        <v>0.92</v>
      </c>
      <c r="E66" s="3">
        <v>750</v>
      </c>
      <c r="F66" s="3">
        <v>11</v>
      </c>
      <c r="G66" s="3">
        <v>11</v>
      </c>
      <c r="H66" s="3">
        <v>0</v>
      </c>
      <c r="I66" s="3">
        <v>0</v>
      </c>
      <c r="J66" s="3">
        <v>0</v>
      </c>
      <c r="K66" s="3">
        <v>0</v>
      </c>
      <c r="L66" s="3" t="s">
        <v>17</v>
      </c>
      <c r="M66" s="3" t="s">
        <v>76</v>
      </c>
      <c r="N66" s="2"/>
      <c r="O66" s="2"/>
      <c r="P66" s="3" t="str">
        <f>IF(OR(COUNTIF('ثبت لیبل'!$B$11:$B$1010,TRIM(LEFT(C66,FIND("-",C66&amp;"-")-1)))&gt;0,COUNTIF('ثبت لیبل'!$B$11:$B$1010,SUBSTITUTE(TRIM(LEFT(C66,FIND("-",C66&amp;"-")-1)),"GD",""))&gt;0),"موجود","")</f>
        <v/>
      </c>
    </row>
    <row r="67" spans="1:16">
      <c r="A67" s="3">
        <v>66</v>
      </c>
      <c r="B67" s="3" t="s">
        <v>15</v>
      </c>
      <c r="C67" s="3" t="s">
        <v>91</v>
      </c>
      <c r="D67" s="3">
        <v>0.83</v>
      </c>
      <c r="E67" s="3">
        <v>750</v>
      </c>
      <c r="F67" s="3">
        <v>19</v>
      </c>
      <c r="G67" s="3">
        <v>19</v>
      </c>
      <c r="H67" s="3">
        <v>0</v>
      </c>
      <c r="I67" s="3">
        <v>0</v>
      </c>
      <c r="J67" s="3">
        <v>0</v>
      </c>
      <c r="K67" s="3">
        <v>0</v>
      </c>
      <c r="L67" s="3" t="s">
        <v>17</v>
      </c>
      <c r="M67" s="3" t="s">
        <v>46</v>
      </c>
      <c r="N67" s="2"/>
      <c r="O67" s="2"/>
      <c r="P67" s="3" t="str">
        <f>IF(OR(COUNTIF('ثبت لیبل'!$B$11:$B$1010,TRIM(LEFT(C67,FIND("-",C67&amp;"-")-1)))&gt;0,COUNTIF('ثبت لیبل'!$B$11:$B$1010,SUBSTITUTE(TRIM(LEFT(C67,FIND("-",C67&amp;"-")-1)),"GD",""))&gt;0),"موجود","")</f>
        <v/>
      </c>
    </row>
    <row r="68" spans="1:16">
      <c r="A68" s="3">
        <v>67</v>
      </c>
      <c r="B68" s="3" t="s">
        <v>15</v>
      </c>
      <c r="C68" s="3" t="s">
        <v>92</v>
      </c>
      <c r="D68" s="3">
        <v>1.58</v>
      </c>
      <c r="E68" s="3">
        <v>750</v>
      </c>
      <c r="F68" s="3">
        <v>8</v>
      </c>
      <c r="G68" s="3">
        <v>8</v>
      </c>
      <c r="H68" s="3">
        <v>0</v>
      </c>
      <c r="I68" s="3">
        <v>0</v>
      </c>
      <c r="J68" s="3">
        <v>0</v>
      </c>
      <c r="K68" s="3">
        <v>0</v>
      </c>
      <c r="L68" s="3" t="s">
        <v>17</v>
      </c>
      <c r="M68" s="3" t="s">
        <v>46</v>
      </c>
      <c r="N68" s="2"/>
      <c r="O68" s="2"/>
      <c r="P68" s="3" t="str">
        <f>IF(OR(COUNTIF('ثبت لیبل'!$B$11:$B$1010,TRIM(LEFT(C68,FIND("-",C68&amp;"-")-1)))&gt;0,COUNTIF('ثبت لیبل'!$B$11:$B$1010,SUBSTITUTE(TRIM(LEFT(C68,FIND("-",C68&amp;"-")-1)),"GD",""))&gt;0),"موجود","")</f>
        <v/>
      </c>
    </row>
    <row r="69" spans="1:16">
      <c r="A69" s="3">
        <v>68</v>
      </c>
      <c r="B69" s="3" t="s">
        <v>15</v>
      </c>
      <c r="C69" s="3" t="s">
        <v>93</v>
      </c>
      <c r="D69" s="3">
        <v>1.61</v>
      </c>
      <c r="E69" s="3">
        <v>750</v>
      </c>
      <c r="F69" s="3">
        <v>8</v>
      </c>
      <c r="G69" s="3">
        <v>8</v>
      </c>
      <c r="H69" s="3">
        <v>0</v>
      </c>
      <c r="I69" s="3">
        <v>0</v>
      </c>
      <c r="J69" s="3">
        <v>0</v>
      </c>
      <c r="K69" s="3">
        <v>0</v>
      </c>
      <c r="L69" s="3" t="s">
        <v>17</v>
      </c>
      <c r="M69" s="3" t="s">
        <v>46</v>
      </c>
      <c r="N69" s="2"/>
      <c r="O69" s="2"/>
      <c r="P69" s="3" t="str">
        <f>IF(OR(COUNTIF('ثبت لیبل'!$B$11:$B$1010,TRIM(LEFT(C69,FIND("-",C69&amp;"-")-1)))&gt;0,COUNTIF('ثبت لیبل'!$B$11:$B$1010,SUBSTITUTE(TRIM(LEFT(C69,FIND("-",C69&amp;"-")-1)),"GD",""))&gt;0),"موجود","")</f>
        <v/>
      </c>
    </row>
    <row r="70" spans="1:16">
      <c r="A70" s="3">
        <v>69</v>
      </c>
      <c r="B70" s="3" t="s">
        <v>15</v>
      </c>
      <c r="C70" s="3" t="s">
        <v>94</v>
      </c>
      <c r="D70" s="3">
        <v>1.72</v>
      </c>
      <c r="E70" s="3">
        <v>750</v>
      </c>
      <c r="F70" s="3">
        <v>8</v>
      </c>
      <c r="G70" s="3">
        <v>8</v>
      </c>
      <c r="H70" s="3">
        <v>0</v>
      </c>
      <c r="I70" s="3">
        <v>0</v>
      </c>
      <c r="J70" s="3">
        <v>0</v>
      </c>
      <c r="K70" s="3">
        <v>0</v>
      </c>
      <c r="L70" s="3" t="s">
        <v>17</v>
      </c>
      <c r="M70" s="3" t="s">
        <v>46</v>
      </c>
      <c r="N70" s="2"/>
      <c r="O70" s="2"/>
      <c r="P70" s="3" t="str">
        <f>IF(OR(COUNTIF('ثبت لیبل'!$B$11:$B$1010,TRIM(LEFT(C70,FIND("-",C70&amp;"-")-1)))&gt;0,COUNTIF('ثبت لیبل'!$B$11:$B$1010,SUBSTITUTE(TRIM(LEFT(C70,FIND("-",C70&amp;"-")-1)),"GD",""))&gt;0),"موجود","")</f>
        <v/>
      </c>
    </row>
    <row r="71" spans="1:16">
      <c r="A71" s="3">
        <v>70</v>
      </c>
      <c r="B71" s="3" t="s">
        <v>15</v>
      </c>
      <c r="C71" s="3" t="s">
        <v>95</v>
      </c>
      <c r="D71" s="3">
        <v>1.64</v>
      </c>
      <c r="E71" s="3">
        <v>750</v>
      </c>
      <c r="F71" s="3">
        <v>8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 t="s">
        <v>17</v>
      </c>
      <c r="M71" s="3" t="s">
        <v>46</v>
      </c>
      <c r="N71" s="2"/>
      <c r="O71" s="2"/>
      <c r="P71" s="3" t="str">
        <f>IF(OR(COUNTIF('ثبت لیبل'!$B$11:$B$1010,TRIM(LEFT(C71,FIND("-",C71&amp;"-")-1)))&gt;0,COUNTIF('ثبت لیبل'!$B$11:$B$1010,SUBSTITUTE(TRIM(LEFT(C71,FIND("-",C71&amp;"-")-1)),"GD",""))&gt;0),"موجود","")</f>
        <v/>
      </c>
    </row>
    <row r="72" spans="1:16">
      <c r="A72" s="3">
        <v>71</v>
      </c>
      <c r="B72" s="3" t="s">
        <v>15</v>
      </c>
      <c r="C72" s="3" t="s">
        <v>96</v>
      </c>
      <c r="D72" s="3">
        <v>1.65</v>
      </c>
      <c r="E72" s="3">
        <v>750</v>
      </c>
      <c r="F72" s="3">
        <v>8</v>
      </c>
      <c r="G72" s="3">
        <v>8</v>
      </c>
      <c r="H72" s="3">
        <v>0</v>
      </c>
      <c r="I72" s="3">
        <v>0</v>
      </c>
      <c r="J72" s="3">
        <v>0</v>
      </c>
      <c r="K72" s="3">
        <v>0</v>
      </c>
      <c r="L72" s="3" t="s">
        <v>17</v>
      </c>
      <c r="M72" s="3" t="s">
        <v>46</v>
      </c>
      <c r="N72" s="2"/>
      <c r="O72" s="2"/>
      <c r="P72" s="3" t="str">
        <f>IF(OR(COUNTIF('ثبت لیبل'!$B$11:$B$1010,TRIM(LEFT(C72,FIND("-",C72&amp;"-")-1)))&gt;0,COUNTIF('ثبت لیبل'!$B$11:$B$1010,SUBSTITUTE(TRIM(LEFT(C72,FIND("-",C72&amp;"-")-1)),"GD",""))&gt;0),"موجود","")</f>
        <v/>
      </c>
    </row>
    <row r="73" spans="1:16">
      <c r="A73" s="3">
        <v>72</v>
      </c>
      <c r="B73" s="3" t="s">
        <v>15</v>
      </c>
      <c r="C73" s="3" t="s">
        <v>97</v>
      </c>
      <c r="D73" s="3">
        <v>1.48</v>
      </c>
      <c r="E73" s="3">
        <v>750</v>
      </c>
      <c r="F73" s="3">
        <v>12</v>
      </c>
      <c r="G73" s="3">
        <v>12</v>
      </c>
      <c r="H73" s="3">
        <v>0</v>
      </c>
      <c r="I73" s="3">
        <v>0</v>
      </c>
      <c r="J73" s="3">
        <v>0</v>
      </c>
      <c r="K73" s="3">
        <v>0</v>
      </c>
      <c r="L73" s="3" t="s">
        <v>17</v>
      </c>
      <c r="M73" s="3" t="s">
        <v>21</v>
      </c>
      <c r="N73" s="2"/>
      <c r="O73" s="2"/>
      <c r="P73" s="3" t="str">
        <f>IF(OR(COUNTIF('ثبت لیبل'!$B$11:$B$1010,TRIM(LEFT(C73,FIND("-",C73&amp;"-")-1)))&gt;0,COUNTIF('ثبت لیبل'!$B$11:$B$1010,SUBSTITUTE(TRIM(LEFT(C73,FIND("-",C73&amp;"-")-1)),"GD",""))&gt;0),"موجود","")</f>
        <v/>
      </c>
    </row>
    <row r="74" spans="1:16">
      <c r="A74" s="3">
        <v>73</v>
      </c>
      <c r="B74" s="3" t="s">
        <v>15</v>
      </c>
      <c r="C74" s="3" t="s">
        <v>98</v>
      </c>
      <c r="D74" s="3">
        <v>0.95</v>
      </c>
      <c r="E74" s="3">
        <v>750</v>
      </c>
      <c r="F74" s="3">
        <v>19</v>
      </c>
      <c r="G74" s="3">
        <v>19</v>
      </c>
      <c r="H74" s="3">
        <v>0</v>
      </c>
      <c r="I74" s="3">
        <v>0</v>
      </c>
      <c r="J74" s="3">
        <v>0</v>
      </c>
      <c r="K74" s="3">
        <v>0</v>
      </c>
      <c r="L74" s="3" t="s">
        <v>17</v>
      </c>
      <c r="M74" s="3" t="s">
        <v>46</v>
      </c>
      <c r="N74" s="2"/>
      <c r="O74" s="2"/>
      <c r="P74" s="3" t="str">
        <f>IF(OR(COUNTIF('ثبت لیبل'!$B$11:$B$1010,TRIM(LEFT(C74,FIND("-",C74&amp;"-")-1)))&gt;0,COUNTIF('ثبت لیبل'!$B$11:$B$1010,SUBSTITUTE(TRIM(LEFT(C74,FIND("-",C74&amp;"-")-1)),"GD",""))&gt;0),"موجود","")</f>
        <v/>
      </c>
    </row>
    <row r="75" spans="1:16">
      <c r="A75" s="3">
        <v>74</v>
      </c>
      <c r="B75" s="3" t="s">
        <v>15</v>
      </c>
      <c r="C75" s="3" t="s">
        <v>99</v>
      </c>
      <c r="D75" s="3">
        <v>1.06</v>
      </c>
      <c r="E75" s="3">
        <v>750</v>
      </c>
      <c r="F75" s="3">
        <v>19</v>
      </c>
      <c r="G75" s="3">
        <v>19</v>
      </c>
      <c r="H75" s="3">
        <v>0</v>
      </c>
      <c r="I75" s="3">
        <v>0</v>
      </c>
      <c r="J75" s="3">
        <v>0</v>
      </c>
      <c r="K75" s="3">
        <v>0</v>
      </c>
      <c r="L75" s="3" t="s">
        <v>17</v>
      </c>
      <c r="M75" s="3" t="s">
        <v>18</v>
      </c>
      <c r="N75" s="2"/>
      <c r="O75" s="2"/>
      <c r="P75" s="3" t="str">
        <f>IF(OR(COUNTIF('ثبت لیبل'!$B$11:$B$1010,TRIM(LEFT(C75,FIND("-",C75&amp;"-")-1)))&gt;0,COUNTIF('ثبت لیبل'!$B$11:$B$1010,SUBSTITUTE(TRIM(LEFT(C75,FIND("-",C75&amp;"-")-1)),"GD",""))&gt;0),"موجود","")</f>
        <v/>
      </c>
    </row>
    <row r="76" spans="1:16">
      <c r="A76" s="3">
        <v>75</v>
      </c>
      <c r="B76" s="3" t="s">
        <v>15</v>
      </c>
      <c r="C76" s="3" t="s">
        <v>100</v>
      </c>
      <c r="D76" s="3">
        <v>0.95</v>
      </c>
      <c r="E76" s="3">
        <v>750</v>
      </c>
      <c r="F76" s="3">
        <v>12</v>
      </c>
      <c r="G76" s="3">
        <v>12</v>
      </c>
      <c r="H76" s="3">
        <v>0</v>
      </c>
      <c r="I76" s="3">
        <v>0</v>
      </c>
      <c r="J76" s="3">
        <v>0</v>
      </c>
      <c r="K76" s="3">
        <v>0</v>
      </c>
      <c r="L76" s="3" t="s">
        <v>17</v>
      </c>
      <c r="M76" s="3" t="s">
        <v>21</v>
      </c>
      <c r="N76" s="2"/>
      <c r="O76" s="2"/>
      <c r="P76" s="3" t="str">
        <f>IF(OR(COUNTIF('ثبت لیبل'!$B$11:$B$1010,TRIM(LEFT(C76,FIND("-",C76&amp;"-")-1)))&gt;0,COUNTIF('ثبت لیبل'!$B$11:$B$1010,SUBSTITUTE(TRIM(LEFT(C76,FIND("-",C76&amp;"-")-1)),"GD",""))&gt;0),"موجود","")</f>
        <v/>
      </c>
    </row>
    <row r="77" spans="1:16">
      <c r="A77" s="3">
        <v>76</v>
      </c>
      <c r="B77" s="3" t="s">
        <v>15</v>
      </c>
      <c r="C77" s="3" t="s">
        <v>101</v>
      </c>
      <c r="D77" s="3">
        <v>1.26</v>
      </c>
      <c r="E77" s="3">
        <v>750</v>
      </c>
      <c r="F77" s="3">
        <v>12</v>
      </c>
      <c r="G77" s="3">
        <v>12</v>
      </c>
      <c r="H77" s="3">
        <v>0</v>
      </c>
      <c r="I77" s="3">
        <v>0</v>
      </c>
      <c r="J77" s="3">
        <v>0</v>
      </c>
      <c r="K77" s="3">
        <v>0</v>
      </c>
      <c r="L77" s="3" t="s">
        <v>17</v>
      </c>
      <c r="M77" s="3" t="s">
        <v>60</v>
      </c>
      <c r="N77" s="2"/>
      <c r="O77" s="2"/>
      <c r="P77" s="3" t="str">
        <f>IF(OR(COUNTIF('ثبت لیبل'!$B$11:$B$1010,TRIM(LEFT(C77,FIND("-",C77&amp;"-")-1)))&gt;0,COUNTIF('ثبت لیبل'!$B$11:$B$1010,SUBSTITUTE(TRIM(LEFT(C77,FIND("-",C77&amp;"-")-1)),"GD",""))&gt;0),"موجود","")</f>
        <v/>
      </c>
    </row>
    <row r="78" spans="1:16">
      <c r="A78" s="3">
        <v>77</v>
      </c>
      <c r="B78" s="3" t="s">
        <v>15</v>
      </c>
      <c r="C78" s="3" t="s">
        <v>102</v>
      </c>
      <c r="D78" s="3">
        <v>2.15</v>
      </c>
      <c r="E78" s="3">
        <v>750</v>
      </c>
      <c r="F78" s="3">
        <v>12</v>
      </c>
      <c r="G78" s="3">
        <v>12</v>
      </c>
      <c r="H78" s="3">
        <v>0</v>
      </c>
      <c r="I78" s="3">
        <v>0</v>
      </c>
      <c r="J78" s="3">
        <v>0</v>
      </c>
      <c r="K78" s="3">
        <v>0</v>
      </c>
      <c r="L78" s="3" t="s">
        <v>17</v>
      </c>
      <c r="M78" s="3" t="s">
        <v>21</v>
      </c>
      <c r="N78" s="2"/>
      <c r="O78" s="2"/>
      <c r="P78" s="3" t="str">
        <f>IF(OR(COUNTIF('ثبت لیبل'!$B$11:$B$1010,TRIM(LEFT(C78,FIND("-",C78&amp;"-")-1)))&gt;0,COUNTIF('ثبت لیبل'!$B$11:$B$1010,SUBSTITUTE(TRIM(LEFT(C78,FIND("-",C78&amp;"-")-1)),"GD",""))&gt;0),"موجود","")</f>
        <v/>
      </c>
    </row>
    <row r="79" spans="1:16">
      <c r="A79" s="3">
        <v>78</v>
      </c>
      <c r="B79" s="3" t="s">
        <v>15</v>
      </c>
      <c r="C79" s="3" t="s">
        <v>103</v>
      </c>
      <c r="D79" s="3">
        <v>2.2200000000000002</v>
      </c>
      <c r="E79" s="3">
        <v>750</v>
      </c>
      <c r="F79" s="3">
        <v>12</v>
      </c>
      <c r="G79" s="3">
        <v>12</v>
      </c>
      <c r="H79" s="3">
        <v>0</v>
      </c>
      <c r="I79" s="3">
        <v>0</v>
      </c>
      <c r="J79" s="3">
        <v>0</v>
      </c>
      <c r="K79" s="3">
        <v>0</v>
      </c>
      <c r="L79" s="3" t="s">
        <v>17</v>
      </c>
      <c r="M79" s="3" t="s">
        <v>70</v>
      </c>
      <c r="N79" s="2"/>
      <c r="O79" s="2"/>
      <c r="P79" s="3" t="str">
        <f>IF(OR(COUNTIF('ثبت لیبل'!$B$11:$B$1010,TRIM(LEFT(C79,FIND("-",C79&amp;"-")-1)))&gt;0,COUNTIF('ثبت لیبل'!$B$11:$B$1010,SUBSTITUTE(TRIM(LEFT(C79,FIND("-",C79&amp;"-")-1)),"GD",""))&gt;0),"موجود","")</f>
        <v/>
      </c>
    </row>
    <row r="80" spans="1:16">
      <c r="A80" s="3">
        <v>79</v>
      </c>
      <c r="B80" s="3" t="s">
        <v>15</v>
      </c>
      <c r="C80" s="3" t="s">
        <v>104</v>
      </c>
      <c r="D80" s="3">
        <v>2.2799999999999998</v>
      </c>
      <c r="E80" s="3">
        <v>750</v>
      </c>
      <c r="F80" s="3">
        <v>12</v>
      </c>
      <c r="G80" s="3">
        <v>12</v>
      </c>
      <c r="H80" s="3">
        <v>0</v>
      </c>
      <c r="I80" s="3">
        <v>0</v>
      </c>
      <c r="J80" s="3">
        <v>0</v>
      </c>
      <c r="K80" s="3">
        <v>0</v>
      </c>
      <c r="L80" s="3" t="s">
        <v>17</v>
      </c>
      <c r="M80" s="3" t="s">
        <v>70</v>
      </c>
      <c r="N80" s="2"/>
      <c r="O80" s="2"/>
      <c r="P80" s="3" t="str">
        <f>IF(OR(COUNTIF('ثبت لیبل'!$B$11:$B$1010,TRIM(LEFT(C80,FIND("-",C80&amp;"-")-1)))&gt;0,COUNTIF('ثبت لیبل'!$B$11:$B$1010,SUBSTITUTE(TRIM(LEFT(C80,FIND("-",C80&amp;"-")-1)),"GD",""))&gt;0),"موجود","")</f>
        <v/>
      </c>
    </row>
    <row r="81" spans="1:16">
      <c r="A81" s="3">
        <v>80</v>
      </c>
      <c r="B81" s="3" t="s">
        <v>15</v>
      </c>
      <c r="C81" s="3" t="s">
        <v>105</v>
      </c>
      <c r="D81" s="3">
        <v>2.2799999999999998</v>
      </c>
      <c r="E81" s="3">
        <v>750</v>
      </c>
      <c r="F81" s="3">
        <v>12</v>
      </c>
      <c r="G81" s="3">
        <v>12</v>
      </c>
      <c r="H81" s="3">
        <v>0</v>
      </c>
      <c r="I81" s="3">
        <v>0</v>
      </c>
      <c r="J81" s="3">
        <v>0</v>
      </c>
      <c r="K81" s="3">
        <v>0</v>
      </c>
      <c r="L81" s="3" t="s">
        <v>17</v>
      </c>
      <c r="M81" s="3" t="s">
        <v>70</v>
      </c>
      <c r="N81" s="2"/>
      <c r="O81" s="2"/>
      <c r="P81" s="3" t="str">
        <f>IF(OR(COUNTIF('ثبت لیبل'!$B$11:$B$1010,TRIM(LEFT(C81,FIND("-",C81&amp;"-")-1)))&gt;0,COUNTIF('ثبت لیبل'!$B$11:$B$1010,SUBSTITUTE(TRIM(LEFT(C81,FIND("-",C81&amp;"-")-1)),"GD",""))&gt;0),"موجود","")</f>
        <v/>
      </c>
    </row>
    <row r="82" spans="1:16">
      <c r="A82" s="3">
        <v>81</v>
      </c>
      <c r="B82" s="3" t="s">
        <v>15</v>
      </c>
      <c r="C82" s="3" t="s">
        <v>106</v>
      </c>
      <c r="D82" s="3">
        <v>2.5</v>
      </c>
      <c r="E82" s="3">
        <v>750</v>
      </c>
      <c r="F82" s="3">
        <v>12</v>
      </c>
      <c r="G82" s="3">
        <v>12</v>
      </c>
      <c r="H82" s="3">
        <v>0</v>
      </c>
      <c r="I82" s="3">
        <v>0</v>
      </c>
      <c r="J82" s="3">
        <v>0</v>
      </c>
      <c r="K82" s="3">
        <v>0</v>
      </c>
      <c r="L82" s="3" t="s">
        <v>17</v>
      </c>
      <c r="M82" s="3" t="s">
        <v>70</v>
      </c>
      <c r="N82" s="2"/>
      <c r="O82" s="2"/>
      <c r="P82" s="3" t="str">
        <f>IF(OR(COUNTIF('ثبت لیبل'!$B$11:$B$1010,TRIM(LEFT(C82,FIND("-",C82&amp;"-")-1)))&gt;0,COUNTIF('ثبت لیبل'!$B$11:$B$1010,SUBSTITUTE(TRIM(LEFT(C82,FIND("-",C82&amp;"-")-1)),"GD",""))&gt;0),"موجود","")</f>
        <v/>
      </c>
    </row>
    <row r="83" spans="1:16">
      <c r="A83" s="3">
        <v>82</v>
      </c>
      <c r="B83" s="3" t="s">
        <v>15</v>
      </c>
      <c r="C83" s="3" t="s">
        <v>107</v>
      </c>
      <c r="D83" s="3">
        <v>2.34</v>
      </c>
      <c r="E83" s="3">
        <v>750</v>
      </c>
      <c r="F83" s="3">
        <v>12</v>
      </c>
      <c r="G83" s="3">
        <v>12</v>
      </c>
      <c r="H83" s="3">
        <v>0</v>
      </c>
      <c r="I83" s="3">
        <v>0</v>
      </c>
      <c r="J83" s="3">
        <v>0</v>
      </c>
      <c r="K83" s="3">
        <v>0</v>
      </c>
      <c r="L83" s="3" t="s">
        <v>17</v>
      </c>
      <c r="M83" s="3" t="s">
        <v>70</v>
      </c>
      <c r="N83" s="2"/>
      <c r="O83" s="2"/>
      <c r="P83" s="3" t="str">
        <f>IF(OR(COUNTIF('ثبت لیبل'!$B$11:$B$1010,TRIM(LEFT(C83,FIND("-",C83&amp;"-")-1)))&gt;0,COUNTIF('ثبت لیبل'!$B$11:$B$1010,SUBSTITUTE(TRIM(LEFT(C83,FIND("-",C83&amp;"-")-1)),"GD",""))&gt;0),"موجود","")</f>
        <v/>
      </c>
    </row>
    <row r="84" spans="1:16">
      <c r="A84" s="3">
        <v>83</v>
      </c>
      <c r="B84" s="3" t="s">
        <v>15</v>
      </c>
      <c r="C84" s="3" t="s">
        <v>108</v>
      </c>
      <c r="D84" s="3">
        <v>5.57</v>
      </c>
      <c r="E84" s="3">
        <v>750</v>
      </c>
      <c r="F84" s="3">
        <v>12</v>
      </c>
      <c r="G84" s="3">
        <v>12</v>
      </c>
      <c r="H84" s="3">
        <v>0</v>
      </c>
      <c r="I84" s="3">
        <v>0</v>
      </c>
      <c r="J84" s="3">
        <v>0</v>
      </c>
      <c r="K84" s="3">
        <v>0</v>
      </c>
      <c r="L84" s="3" t="s">
        <v>17</v>
      </c>
      <c r="M84" s="3" t="s">
        <v>70</v>
      </c>
      <c r="N84" s="2"/>
      <c r="O84" s="2"/>
      <c r="P84" s="3" t="str">
        <f>IF(OR(COUNTIF('ثبت لیبل'!$B$11:$B$1010,TRIM(LEFT(C84,FIND("-",C84&amp;"-")-1)))&gt;0,COUNTIF('ثبت لیبل'!$B$11:$B$1010,SUBSTITUTE(TRIM(LEFT(C84,FIND("-",C84&amp;"-")-1)),"GD",""))&gt;0),"موجود","")</f>
        <v/>
      </c>
    </row>
    <row r="85" spans="1:16">
      <c r="A85" s="3">
        <v>84</v>
      </c>
      <c r="B85" s="3" t="s">
        <v>15</v>
      </c>
      <c r="C85" s="3" t="s">
        <v>109</v>
      </c>
      <c r="D85" s="3">
        <v>5.33</v>
      </c>
      <c r="E85" s="3">
        <v>750</v>
      </c>
      <c r="F85" s="3">
        <v>12</v>
      </c>
      <c r="G85" s="3">
        <v>12</v>
      </c>
      <c r="H85" s="3">
        <v>0</v>
      </c>
      <c r="I85" s="3">
        <v>0</v>
      </c>
      <c r="J85" s="3">
        <v>0</v>
      </c>
      <c r="K85" s="3">
        <v>0</v>
      </c>
      <c r="L85" s="3" t="s">
        <v>17</v>
      </c>
      <c r="M85" s="3" t="s">
        <v>70</v>
      </c>
      <c r="N85" s="2"/>
      <c r="O85" s="2"/>
      <c r="P85" s="3" t="str">
        <f>IF(OR(COUNTIF('ثبت لیبل'!$B$11:$B$1010,TRIM(LEFT(C85,FIND("-",C85&amp;"-")-1)))&gt;0,COUNTIF('ثبت لیبل'!$B$11:$B$1010,SUBSTITUTE(TRIM(LEFT(C85,FIND("-",C85&amp;"-")-1)),"GD",""))&gt;0),"موجود","")</f>
        <v/>
      </c>
    </row>
    <row r="86" spans="1:16">
      <c r="A86" s="3">
        <v>85</v>
      </c>
      <c r="B86" s="3" t="s">
        <v>15</v>
      </c>
      <c r="C86" s="3" t="s">
        <v>110</v>
      </c>
      <c r="D86" s="3">
        <v>0.75</v>
      </c>
      <c r="E86" s="3">
        <v>750</v>
      </c>
      <c r="F86" s="3">
        <v>11</v>
      </c>
      <c r="G86" s="3">
        <v>11</v>
      </c>
      <c r="H86" s="3">
        <v>0</v>
      </c>
      <c r="I86" s="3">
        <v>0</v>
      </c>
      <c r="J86" s="3">
        <v>0</v>
      </c>
      <c r="K86" s="3">
        <v>0</v>
      </c>
      <c r="L86" s="3" t="s">
        <v>17</v>
      </c>
      <c r="M86" s="3" t="s">
        <v>21</v>
      </c>
      <c r="N86" s="2"/>
      <c r="O86" s="2"/>
      <c r="P86" s="3" t="str">
        <f>IF(OR(COUNTIF('ثبت لیبل'!$B$11:$B$1010,TRIM(LEFT(C86,FIND("-",C86&amp;"-")-1)))&gt;0,COUNTIF('ثبت لیبل'!$B$11:$B$1010,SUBSTITUTE(TRIM(LEFT(C86,FIND("-",C86&amp;"-")-1)),"GD",""))&gt;0),"موجود","")</f>
        <v/>
      </c>
    </row>
    <row r="87" spans="1:16">
      <c r="A87" s="3">
        <v>86</v>
      </c>
      <c r="B87" s="3" t="s">
        <v>15</v>
      </c>
      <c r="C87" s="3" t="s">
        <v>111</v>
      </c>
      <c r="D87" s="3">
        <v>0.55000000000000004</v>
      </c>
      <c r="E87" s="3">
        <v>750</v>
      </c>
      <c r="F87" s="3">
        <v>11</v>
      </c>
      <c r="G87" s="3">
        <v>11</v>
      </c>
      <c r="H87" s="3">
        <v>0</v>
      </c>
      <c r="I87" s="3">
        <v>0</v>
      </c>
      <c r="J87" s="3">
        <v>0</v>
      </c>
      <c r="K87" s="3">
        <v>0</v>
      </c>
      <c r="L87" s="3" t="s">
        <v>17</v>
      </c>
      <c r="M87" s="3" t="s">
        <v>21</v>
      </c>
      <c r="N87" s="2"/>
      <c r="O87" s="2"/>
      <c r="P87" s="3" t="str">
        <f>IF(OR(COUNTIF('ثبت لیبل'!$B$11:$B$1010,TRIM(LEFT(C87,FIND("-",C87&amp;"-")-1)))&gt;0,COUNTIF('ثبت لیبل'!$B$11:$B$1010,SUBSTITUTE(TRIM(LEFT(C87,FIND("-",C87&amp;"-")-1)),"GD",""))&gt;0),"موجود","")</f>
        <v/>
      </c>
    </row>
    <row r="88" spans="1:16">
      <c r="A88" s="3">
        <v>87</v>
      </c>
      <c r="B88" s="3" t="s">
        <v>15</v>
      </c>
      <c r="C88" s="3" t="s">
        <v>112</v>
      </c>
      <c r="D88" s="3">
        <v>0.57999999999999996</v>
      </c>
      <c r="E88" s="3">
        <v>750</v>
      </c>
      <c r="F88" s="3">
        <v>11</v>
      </c>
      <c r="G88" s="3">
        <v>11</v>
      </c>
      <c r="H88" s="3">
        <v>0</v>
      </c>
      <c r="I88" s="3">
        <v>0</v>
      </c>
      <c r="J88" s="3">
        <v>0</v>
      </c>
      <c r="K88" s="3">
        <v>0</v>
      </c>
      <c r="L88" s="3" t="s">
        <v>17</v>
      </c>
      <c r="M88" s="3" t="s">
        <v>21</v>
      </c>
      <c r="N88" s="2"/>
      <c r="O88" s="2"/>
      <c r="P88" s="3" t="str">
        <f>IF(OR(COUNTIF('ثبت لیبل'!$B$11:$B$1010,TRIM(LEFT(C88,FIND("-",C88&amp;"-")-1)))&gt;0,COUNTIF('ثبت لیبل'!$B$11:$B$1010,SUBSTITUTE(TRIM(LEFT(C88,FIND("-",C88&amp;"-")-1)),"GD",""))&gt;0),"موجود","")</f>
        <v/>
      </c>
    </row>
    <row r="89" spans="1:16">
      <c r="A89" s="3">
        <v>88</v>
      </c>
      <c r="B89" s="3" t="s">
        <v>15</v>
      </c>
      <c r="C89" s="3" t="s">
        <v>113</v>
      </c>
      <c r="D89" s="3">
        <v>1.65</v>
      </c>
      <c r="E89" s="3">
        <v>750</v>
      </c>
      <c r="F89" s="3">
        <v>12</v>
      </c>
      <c r="G89" s="3">
        <v>12</v>
      </c>
      <c r="H89" s="3">
        <v>0</v>
      </c>
      <c r="I89" s="3">
        <v>0</v>
      </c>
      <c r="J89" s="3">
        <v>0</v>
      </c>
      <c r="K89" s="3">
        <v>0</v>
      </c>
      <c r="L89" s="3" t="s">
        <v>17</v>
      </c>
      <c r="M89" s="3" t="s">
        <v>114</v>
      </c>
      <c r="N89" s="2"/>
      <c r="O89" s="2"/>
      <c r="P89" s="3" t="str">
        <f>IF(OR(COUNTIF('ثبت لیبل'!$B$11:$B$1010,TRIM(LEFT(C89,FIND("-",C89&amp;"-")-1)))&gt;0,COUNTIF('ثبت لیبل'!$B$11:$B$1010,SUBSTITUTE(TRIM(LEFT(C89,FIND("-",C89&amp;"-")-1)),"GD",""))&gt;0),"موجود","")</f>
        <v/>
      </c>
    </row>
    <row r="90" spans="1:16">
      <c r="A90" s="3">
        <v>89</v>
      </c>
      <c r="B90" s="3" t="s">
        <v>15</v>
      </c>
      <c r="C90" s="3" t="s">
        <v>115</v>
      </c>
      <c r="D90" s="3">
        <v>1.88</v>
      </c>
      <c r="E90" s="3">
        <v>750</v>
      </c>
      <c r="F90" s="3">
        <v>12</v>
      </c>
      <c r="G90" s="3">
        <v>12</v>
      </c>
      <c r="H90" s="3">
        <v>0</v>
      </c>
      <c r="I90" s="3">
        <v>0</v>
      </c>
      <c r="J90" s="3">
        <v>0</v>
      </c>
      <c r="K90" s="3">
        <v>0</v>
      </c>
      <c r="L90" s="3" t="s">
        <v>17</v>
      </c>
      <c r="M90" s="3" t="s">
        <v>114</v>
      </c>
      <c r="N90" s="2"/>
      <c r="O90" s="2"/>
      <c r="P90" s="3" t="str">
        <f>IF(OR(COUNTIF('ثبت لیبل'!$B$11:$B$1010,TRIM(LEFT(C90,FIND("-",C90&amp;"-")-1)))&gt;0,COUNTIF('ثبت لیبل'!$B$11:$B$1010,SUBSTITUTE(TRIM(LEFT(C90,FIND("-",C90&amp;"-")-1)),"GD",""))&gt;0),"موجود","")</f>
        <v/>
      </c>
    </row>
    <row r="91" spans="1:16">
      <c r="A91" s="3">
        <v>90</v>
      </c>
      <c r="B91" s="3" t="s">
        <v>15</v>
      </c>
      <c r="C91" s="3" t="s">
        <v>116</v>
      </c>
      <c r="D91" s="3">
        <v>2.39</v>
      </c>
      <c r="E91" s="3">
        <v>750</v>
      </c>
      <c r="F91" s="3">
        <v>11</v>
      </c>
      <c r="G91" s="3">
        <v>11</v>
      </c>
      <c r="H91" s="3">
        <v>0</v>
      </c>
      <c r="I91" s="3">
        <v>0</v>
      </c>
      <c r="J91" s="3">
        <v>0</v>
      </c>
      <c r="K91" s="3">
        <v>0</v>
      </c>
      <c r="L91" s="3" t="s">
        <v>17</v>
      </c>
      <c r="M91" s="3" t="s">
        <v>60</v>
      </c>
      <c r="N91" s="2"/>
      <c r="O91" s="2"/>
      <c r="P91" s="3" t="str">
        <f>IF(OR(COUNTIF('ثبت لیبل'!$B$11:$B$1010,TRIM(LEFT(C91,FIND("-",C91&amp;"-")-1)))&gt;0,COUNTIF('ثبت لیبل'!$B$11:$B$1010,SUBSTITUTE(TRIM(LEFT(C91,FIND("-",C91&amp;"-")-1)),"GD",""))&gt;0),"موجود","")</f>
        <v/>
      </c>
    </row>
    <row r="92" spans="1:16">
      <c r="A92" s="3">
        <v>91</v>
      </c>
      <c r="B92" s="3" t="s">
        <v>15</v>
      </c>
      <c r="C92" s="3" t="s">
        <v>117</v>
      </c>
      <c r="D92" s="3">
        <v>1.37</v>
      </c>
      <c r="E92" s="3">
        <v>750</v>
      </c>
      <c r="F92" s="3">
        <v>11</v>
      </c>
      <c r="G92" s="3">
        <v>11</v>
      </c>
      <c r="H92" s="3">
        <v>0</v>
      </c>
      <c r="I92" s="3">
        <v>0</v>
      </c>
      <c r="J92" s="3">
        <v>0</v>
      </c>
      <c r="K92" s="3">
        <v>0</v>
      </c>
      <c r="L92" s="3" t="s">
        <v>17</v>
      </c>
      <c r="M92" s="3" t="s">
        <v>60</v>
      </c>
      <c r="N92" s="2"/>
      <c r="O92" s="2"/>
      <c r="P92" s="3" t="str">
        <f>IF(OR(COUNTIF('ثبت لیبل'!$B$11:$B$1010,TRIM(LEFT(C92,FIND("-",C92&amp;"-")-1)))&gt;0,COUNTIF('ثبت لیبل'!$B$11:$B$1010,SUBSTITUTE(TRIM(LEFT(C92,FIND("-",C92&amp;"-")-1)),"GD",""))&gt;0),"موجود","")</f>
        <v/>
      </c>
    </row>
    <row r="93" spans="1:16">
      <c r="A93" s="3">
        <v>92</v>
      </c>
      <c r="B93" s="3" t="s">
        <v>15</v>
      </c>
      <c r="C93" s="3" t="s">
        <v>118</v>
      </c>
      <c r="D93" s="3">
        <v>0.39</v>
      </c>
      <c r="E93" s="3">
        <v>750</v>
      </c>
      <c r="F93" s="3">
        <v>12</v>
      </c>
      <c r="G93" s="3">
        <v>12</v>
      </c>
      <c r="H93" s="3">
        <v>0</v>
      </c>
      <c r="I93" s="3">
        <v>0</v>
      </c>
      <c r="J93" s="3">
        <v>0</v>
      </c>
      <c r="K93" s="3">
        <v>0</v>
      </c>
      <c r="L93" s="3" t="s">
        <v>17</v>
      </c>
      <c r="M93" s="3" t="s">
        <v>21</v>
      </c>
      <c r="N93" s="2"/>
      <c r="O93" s="2"/>
      <c r="P93" s="3" t="str">
        <f>IF(OR(COUNTIF('ثبت لیبل'!$B$11:$B$1010,TRIM(LEFT(C93,FIND("-",C93&amp;"-")-1)))&gt;0,COUNTIF('ثبت لیبل'!$B$11:$B$1010,SUBSTITUTE(TRIM(LEFT(C93,FIND("-",C93&amp;"-")-1)),"GD",""))&gt;0),"موجود","")</f>
        <v/>
      </c>
    </row>
    <row r="94" spans="1:16">
      <c r="A94" s="3">
        <v>93</v>
      </c>
      <c r="B94" s="3" t="s">
        <v>15</v>
      </c>
      <c r="C94" s="3" t="s">
        <v>119</v>
      </c>
      <c r="D94" s="3">
        <v>0.4</v>
      </c>
      <c r="E94" s="3">
        <v>750</v>
      </c>
      <c r="F94" s="3">
        <v>12</v>
      </c>
      <c r="G94" s="3">
        <v>12</v>
      </c>
      <c r="H94" s="3">
        <v>0</v>
      </c>
      <c r="I94" s="3">
        <v>0</v>
      </c>
      <c r="J94" s="3">
        <v>0</v>
      </c>
      <c r="K94" s="3">
        <v>0</v>
      </c>
      <c r="L94" s="3" t="s">
        <v>17</v>
      </c>
      <c r="M94" s="3" t="s">
        <v>21</v>
      </c>
      <c r="N94" s="2"/>
      <c r="O94" s="2"/>
      <c r="P94" s="3" t="str">
        <f>IF(OR(COUNTIF('ثبت لیبل'!$B$11:$B$1010,TRIM(LEFT(C94,FIND("-",C94&amp;"-")-1)))&gt;0,COUNTIF('ثبت لیبل'!$B$11:$B$1010,SUBSTITUTE(TRIM(LEFT(C94,FIND("-",C94&amp;"-")-1)),"GD",""))&gt;0),"موجود","")</f>
        <v/>
      </c>
    </row>
    <row r="95" spans="1:16">
      <c r="A95" s="3">
        <v>94</v>
      </c>
      <c r="B95" s="3" t="s">
        <v>15</v>
      </c>
      <c r="C95" s="3" t="s">
        <v>120</v>
      </c>
      <c r="D95" s="3">
        <v>0.28999999999999998</v>
      </c>
      <c r="E95" s="3">
        <v>750</v>
      </c>
      <c r="F95" s="3">
        <v>12</v>
      </c>
      <c r="G95" s="3">
        <v>12</v>
      </c>
      <c r="H95" s="3">
        <v>0</v>
      </c>
      <c r="I95" s="3">
        <v>0</v>
      </c>
      <c r="J95" s="3">
        <v>0</v>
      </c>
      <c r="K95" s="3">
        <v>0</v>
      </c>
      <c r="L95" s="3" t="s">
        <v>17</v>
      </c>
      <c r="M95" s="3" t="s">
        <v>21</v>
      </c>
      <c r="N95" s="2"/>
      <c r="O95" s="2"/>
      <c r="P95" s="3" t="str">
        <f>IF(OR(COUNTIF('ثبت لیبل'!$B$11:$B$1010,TRIM(LEFT(C95,FIND("-",C95&amp;"-")-1)))&gt;0,COUNTIF('ثبت لیبل'!$B$11:$B$1010,SUBSTITUTE(TRIM(LEFT(C95,FIND("-",C95&amp;"-")-1)),"GD",""))&gt;0),"موجود","")</f>
        <v/>
      </c>
    </row>
    <row r="96" spans="1:16">
      <c r="A96" s="3">
        <v>95</v>
      </c>
      <c r="B96" s="3" t="s">
        <v>15</v>
      </c>
      <c r="C96" s="3" t="s">
        <v>121</v>
      </c>
      <c r="D96" s="3">
        <v>0.41</v>
      </c>
      <c r="E96" s="3">
        <v>750</v>
      </c>
      <c r="F96" s="3">
        <v>12</v>
      </c>
      <c r="G96" s="3">
        <v>12</v>
      </c>
      <c r="H96" s="3">
        <v>0</v>
      </c>
      <c r="I96" s="3">
        <v>0</v>
      </c>
      <c r="J96" s="3">
        <v>0</v>
      </c>
      <c r="K96" s="3">
        <v>0</v>
      </c>
      <c r="L96" s="3" t="s">
        <v>17</v>
      </c>
      <c r="M96" s="3" t="s">
        <v>21</v>
      </c>
      <c r="N96" s="2"/>
      <c r="O96" s="2"/>
      <c r="P96" s="3" t="str">
        <f>IF(OR(COUNTIF('ثبت لیبل'!$B$11:$B$1010,TRIM(LEFT(C96,FIND("-",C96&amp;"-")-1)))&gt;0,COUNTIF('ثبت لیبل'!$B$11:$B$1010,SUBSTITUTE(TRIM(LEFT(C96,FIND("-",C96&amp;"-")-1)),"GD",""))&gt;0),"موجود","")</f>
        <v/>
      </c>
    </row>
    <row r="97" spans="1:16">
      <c r="A97" s="3">
        <v>96</v>
      </c>
      <c r="B97" s="3" t="s">
        <v>15</v>
      </c>
      <c r="C97" s="3" t="s">
        <v>122</v>
      </c>
      <c r="D97" s="3">
        <v>0.43</v>
      </c>
      <c r="E97" s="3">
        <v>750</v>
      </c>
      <c r="F97" s="3">
        <v>12</v>
      </c>
      <c r="G97" s="3">
        <v>12</v>
      </c>
      <c r="H97" s="3">
        <v>0</v>
      </c>
      <c r="I97" s="3">
        <v>0</v>
      </c>
      <c r="J97" s="3">
        <v>0</v>
      </c>
      <c r="K97" s="3">
        <v>0</v>
      </c>
      <c r="L97" s="3" t="s">
        <v>17</v>
      </c>
      <c r="M97" s="3" t="s">
        <v>21</v>
      </c>
      <c r="N97" s="2"/>
      <c r="O97" s="2"/>
      <c r="P97" s="3" t="str">
        <f>IF(OR(COUNTIF('ثبت لیبل'!$B$11:$B$1010,TRIM(LEFT(C97,FIND("-",C97&amp;"-")-1)))&gt;0,COUNTIF('ثبت لیبل'!$B$11:$B$1010,SUBSTITUTE(TRIM(LEFT(C97,FIND("-",C97&amp;"-")-1)),"GD",""))&gt;0),"موجود","")</f>
        <v/>
      </c>
    </row>
    <row r="98" spans="1:16">
      <c r="A98" s="3">
        <v>97</v>
      </c>
      <c r="B98" s="3" t="s">
        <v>15</v>
      </c>
      <c r="C98" s="3" t="s">
        <v>123</v>
      </c>
      <c r="D98" s="3">
        <v>0.3</v>
      </c>
      <c r="E98" s="3">
        <v>750</v>
      </c>
      <c r="F98" s="3">
        <v>12</v>
      </c>
      <c r="G98" s="3">
        <v>12</v>
      </c>
      <c r="H98" s="3">
        <v>0</v>
      </c>
      <c r="I98" s="3">
        <v>0</v>
      </c>
      <c r="J98" s="3">
        <v>0</v>
      </c>
      <c r="K98" s="3">
        <v>0</v>
      </c>
      <c r="L98" s="3" t="s">
        <v>17</v>
      </c>
      <c r="M98" s="3" t="s">
        <v>21</v>
      </c>
      <c r="N98" s="2"/>
      <c r="O98" s="2"/>
      <c r="P98" s="3" t="str">
        <f>IF(OR(COUNTIF('ثبت لیبل'!$B$11:$B$1010,TRIM(LEFT(C98,FIND("-",C98&amp;"-")-1)))&gt;0,COUNTIF('ثبت لیبل'!$B$11:$B$1010,SUBSTITUTE(TRIM(LEFT(C98,FIND("-",C98&amp;"-")-1)),"GD",""))&gt;0),"موجود","")</f>
        <v/>
      </c>
    </row>
    <row r="99" spans="1:16">
      <c r="A99" s="3">
        <v>98</v>
      </c>
      <c r="B99" s="3" t="s">
        <v>15</v>
      </c>
      <c r="C99" s="3" t="s">
        <v>124</v>
      </c>
      <c r="D99" s="3">
        <v>1.68</v>
      </c>
      <c r="E99" s="3">
        <v>750</v>
      </c>
      <c r="F99" s="3">
        <v>12</v>
      </c>
      <c r="G99" s="3">
        <v>12</v>
      </c>
      <c r="H99" s="3">
        <v>0</v>
      </c>
      <c r="I99" s="3">
        <v>0</v>
      </c>
      <c r="J99" s="3">
        <v>0</v>
      </c>
      <c r="K99" s="3">
        <v>0</v>
      </c>
      <c r="L99" s="3" t="s">
        <v>17</v>
      </c>
      <c r="M99" s="3" t="s">
        <v>21</v>
      </c>
      <c r="N99" s="2"/>
      <c r="O99" s="2"/>
      <c r="P99" s="3" t="str">
        <f>IF(OR(COUNTIF('ثبت لیبل'!$B$11:$B$1010,TRIM(LEFT(C99,FIND("-",C99&amp;"-")-1)))&gt;0,COUNTIF('ثبت لیبل'!$B$11:$B$1010,SUBSTITUTE(TRIM(LEFT(C99,FIND("-",C99&amp;"-")-1)),"GD",""))&gt;0),"موجود","")</f>
        <v/>
      </c>
    </row>
    <row r="100" spans="1:16">
      <c r="A100" s="3">
        <v>99</v>
      </c>
      <c r="B100" s="3" t="s">
        <v>15</v>
      </c>
      <c r="C100" s="3" t="s">
        <v>125</v>
      </c>
      <c r="D100" s="3">
        <v>0.5</v>
      </c>
      <c r="E100" s="3">
        <v>750</v>
      </c>
      <c r="F100" s="3">
        <v>12</v>
      </c>
      <c r="G100" s="3">
        <v>12</v>
      </c>
      <c r="H100" s="3">
        <v>0</v>
      </c>
      <c r="I100" s="3">
        <v>0</v>
      </c>
      <c r="J100" s="3">
        <v>0</v>
      </c>
      <c r="K100" s="3">
        <v>0</v>
      </c>
      <c r="L100" s="3" t="s">
        <v>17</v>
      </c>
      <c r="M100" s="3" t="s">
        <v>60</v>
      </c>
      <c r="N100" s="2"/>
      <c r="O100" s="2"/>
      <c r="P100" s="3" t="str">
        <f>IF(OR(COUNTIF('ثبت لیبل'!$B$11:$B$1010,TRIM(LEFT(C100,FIND("-",C100&amp;"-")-1)))&gt;0,COUNTIF('ثبت لیبل'!$B$11:$B$1010,SUBSTITUTE(TRIM(LEFT(C100,FIND("-",C100&amp;"-")-1)),"GD",""))&gt;0),"موجود","")</f>
        <v/>
      </c>
    </row>
    <row r="101" spans="1:16">
      <c r="A101" s="3">
        <v>100</v>
      </c>
      <c r="B101" s="3" t="s">
        <v>15</v>
      </c>
      <c r="C101" s="3" t="s">
        <v>126</v>
      </c>
      <c r="D101" s="3">
        <v>0.46</v>
      </c>
      <c r="E101" s="3">
        <v>750</v>
      </c>
      <c r="F101" s="3">
        <v>12</v>
      </c>
      <c r="G101" s="3">
        <v>12</v>
      </c>
      <c r="H101" s="3">
        <v>0</v>
      </c>
      <c r="I101" s="3">
        <v>0</v>
      </c>
      <c r="J101" s="3">
        <v>0</v>
      </c>
      <c r="K101" s="3">
        <v>0</v>
      </c>
      <c r="L101" s="3" t="s">
        <v>17</v>
      </c>
      <c r="M101" s="3" t="s">
        <v>60</v>
      </c>
      <c r="N101" s="2"/>
      <c r="O101" s="2"/>
      <c r="P101" s="3" t="str">
        <f>IF(OR(COUNTIF('ثبت لیبل'!$B$11:$B$1010,TRIM(LEFT(C101,FIND("-",C101&amp;"-")-1)))&gt;0,COUNTIF('ثبت لیبل'!$B$11:$B$1010,SUBSTITUTE(TRIM(LEFT(C101,FIND("-",C101&amp;"-")-1)),"GD",""))&gt;0),"موجود","")</f>
        <v/>
      </c>
    </row>
    <row r="102" spans="1:16">
      <c r="A102" s="3">
        <v>101</v>
      </c>
      <c r="B102" s="3" t="s">
        <v>15</v>
      </c>
      <c r="C102" s="3" t="s">
        <v>127</v>
      </c>
      <c r="D102" s="3">
        <v>0.89</v>
      </c>
      <c r="E102" s="3">
        <v>750</v>
      </c>
      <c r="F102" s="3">
        <v>12</v>
      </c>
      <c r="G102" s="3">
        <v>12</v>
      </c>
      <c r="H102" s="3">
        <v>0</v>
      </c>
      <c r="I102" s="3">
        <v>0</v>
      </c>
      <c r="J102" s="3">
        <v>0</v>
      </c>
      <c r="K102" s="3">
        <v>0</v>
      </c>
      <c r="L102" s="3" t="s">
        <v>17</v>
      </c>
      <c r="M102" s="3" t="s">
        <v>21</v>
      </c>
      <c r="N102" s="2"/>
      <c r="O102" s="2"/>
      <c r="P102" s="3" t="str">
        <f>IF(OR(COUNTIF('ثبت لیبل'!$B$11:$B$1010,TRIM(LEFT(C102,FIND("-",C102&amp;"-")-1)))&gt;0,COUNTIF('ثبت لیبل'!$B$11:$B$1010,SUBSTITUTE(TRIM(LEFT(C102,FIND("-",C102&amp;"-")-1)),"GD",""))&gt;0),"موجود","")</f>
        <v/>
      </c>
    </row>
    <row r="103" spans="1:16">
      <c r="A103" s="3">
        <v>102</v>
      </c>
      <c r="B103" s="3" t="s">
        <v>15</v>
      </c>
      <c r="C103" s="3" t="s">
        <v>128</v>
      </c>
      <c r="D103" s="3">
        <v>0.56000000000000005</v>
      </c>
      <c r="E103" s="3">
        <v>750</v>
      </c>
      <c r="F103" s="3">
        <v>12</v>
      </c>
      <c r="G103" s="3">
        <v>12</v>
      </c>
      <c r="H103" s="3">
        <v>0</v>
      </c>
      <c r="I103" s="3">
        <v>0</v>
      </c>
      <c r="J103" s="3">
        <v>0</v>
      </c>
      <c r="K103" s="3">
        <v>0</v>
      </c>
      <c r="L103" s="3" t="s">
        <v>17</v>
      </c>
      <c r="M103" s="3" t="s">
        <v>60</v>
      </c>
      <c r="N103" s="2"/>
      <c r="O103" s="2"/>
      <c r="P103" s="3" t="str">
        <f>IF(OR(COUNTIF('ثبت لیبل'!$B$11:$B$1010,TRIM(LEFT(C103,FIND("-",C103&amp;"-")-1)))&gt;0,COUNTIF('ثبت لیبل'!$B$11:$B$1010,SUBSTITUTE(TRIM(LEFT(C103,FIND("-",C103&amp;"-")-1)),"GD",""))&gt;0),"موجود","")</f>
        <v/>
      </c>
    </row>
    <row r="104" spans="1:16">
      <c r="A104" s="3">
        <v>103</v>
      </c>
      <c r="B104" s="3" t="s">
        <v>15</v>
      </c>
      <c r="C104" s="3" t="s">
        <v>129</v>
      </c>
      <c r="D104" s="3">
        <v>0.74</v>
      </c>
      <c r="E104" s="3">
        <v>750</v>
      </c>
      <c r="F104" s="3">
        <v>11</v>
      </c>
      <c r="G104" s="3">
        <v>11</v>
      </c>
      <c r="H104" s="3">
        <v>0</v>
      </c>
      <c r="I104" s="3">
        <v>0</v>
      </c>
      <c r="J104" s="3">
        <v>0</v>
      </c>
      <c r="K104" s="3">
        <v>0</v>
      </c>
      <c r="L104" s="3" t="s">
        <v>17</v>
      </c>
      <c r="M104" s="3" t="s">
        <v>60</v>
      </c>
      <c r="N104" s="2"/>
      <c r="O104" s="2"/>
      <c r="P104" s="3" t="str">
        <f>IF(OR(COUNTIF('ثبت لیبل'!$B$11:$B$1010,TRIM(LEFT(C104,FIND("-",C104&amp;"-")-1)))&gt;0,COUNTIF('ثبت لیبل'!$B$11:$B$1010,SUBSTITUTE(TRIM(LEFT(C104,FIND("-",C104&amp;"-")-1)),"GD",""))&gt;0),"موجود","")</f>
        <v/>
      </c>
    </row>
    <row r="105" spans="1:16">
      <c r="A105" s="3">
        <v>104</v>
      </c>
      <c r="B105" s="3" t="s">
        <v>15</v>
      </c>
      <c r="C105" s="3" t="s">
        <v>130</v>
      </c>
      <c r="D105" s="3">
        <v>1.27</v>
      </c>
      <c r="E105" s="3">
        <v>750</v>
      </c>
      <c r="F105" s="3">
        <v>12</v>
      </c>
      <c r="G105" s="3">
        <v>12</v>
      </c>
      <c r="H105" s="3">
        <v>0</v>
      </c>
      <c r="I105" s="3">
        <v>0</v>
      </c>
      <c r="J105" s="3">
        <v>0</v>
      </c>
      <c r="K105" s="3">
        <v>0</v>
      </c>
      <c r="L105" s="3" t="s">
        <v>17</v>
      </c>
      <c r="M105" s="3" t="s">
        <v>18</v>
      </c>
      <c r="N105" s="2"/>
      <c r="O105" s="2"/>
      <c r="P105" s="3" t="str">
        <f>IF(OR(COUNTIF('ثبت لیبل'!$B$11:$B$1010,TRIM(LEFT(C105,FIND("-",C105&amp;"-")-1)))&gt;0,COUNTIF('ثبت لیبل'!$B$11:$B$1010,SUBSTITUTE(TRIM(LEFT(C105,FIND("-",C105&amp;"-")-1)),"GD",""))&gt;0),"موجود","")</f>
        <v/>
      </c>
    </row>
    <row r="106" spans="1:16">
      <c r="A106" s="3">
        <v>105</v>
      </c>
      <c r="B106" s="3" t="s">
        <v>15</v>
      </c>
      <c r="C106" s="3" t="s">
        <v>131</v>
      </c>
      <c r="D106" s="3">
        <v>1.59</v>
      </c>
      <c r="E106" s="3">
        <v>750</v>
      </c>
      <c r="F106" s="3">
        <v>12</v>
      </c>
      <c r="G106" s="3">
        <v>12</v>
      </c>
      <c r="H106" s="3">
        <v>0</v>
      </c>
      <c r="I106" s="3">
        <v>0</v>
      </c>
      <c r="J106" s="3">
        <v>0</v>
      </c>
      <c r="K106" s="3">
        <v>0</v>
      </c>
      <c r="L106" s="3" t="s">
        <v>17</v>
      </c>
      <c r="M106" s="3" t="s">
        <v>18</v>
      </c>
      <c r="N106" s="2"/>
      <c r="O106" s="2"/>
      <c r="P106" s="3" t="str">
        <f>IF(OR(COUNTIF('ثبت لیبل'!$B$11:$B$1010,TRIM(LEFT(C106,FIND("-",C106&amp;"-")-1)))&gt;0,COUNTIF('ثبت لیبل'!$B$11:$B$1010,SUBSTITUTE(TRIM(LEFT(C106,FIND("-",C106&amp;"-")-1)),"GD",""))&gt;0),"موجود","")</f>
        <v/>
      </c>
    </row>
    <row r="107" spans="1:16">
      <c r="A107" s="3">
        <v>106</v>
      </c>
      <c r="B107" s="3" t="s">
        <v>15</v>
      </c>
      <c r="C107" s="3" t="s">
        <v>132</v>
      </c>
      <c r="D107" s="3">
        <v>1.02</v>
      </c>
      <c r="E107" s="3">
        <v>750</v>
      </c>
      <c r="F107" s="3">
        <v>12</v>
      </c>
      <c r="G107" s="3">
        <v>12</v>
      </c>
      <c r="H107" s="3">
        <v>0</v>
      </c>
      <c r="I107" s="3">
        <v>0</v>
      </c>
      <c r="J107" s="3">
        <v>0</v>
      </c>
      <c r="K107" s="3">
        <v>0</v>
      </c>
      <c r="L107" s="3" t="s">
        <v>17</v>
      </c>
      <c r="M107" s="3" t="s">
        <v>114</v>
      </c>
      <c r="N107" s="2"/>
      <c r="O107" s="2"/>
      <c r="P107" s="3" t="str">
        <f>IF(OR(COUNTIF('ثبت لیبل'!$B$11:$B$1010,TRIM(LEFT(C107,FIND("-",C107&amp;"-")-1)))&gt;0,COUNTIF('ثبت لیبل'!$B$11:$B$1010,SUBSTITUTE(TRIM(LEFT(C107,FIND("-",C107&amp;"-")-1)),"GD",""))&gt;0),"موجود","")</f>
        <v/>
      </c>
    </row>
    <row r="108" spans="1:16">
      <c r="A108" s="3">
        <v>107</v>
      </c>
      <c r="B108" s="3" t="s">
        <v>15</v>
      </c>
      <c r="C108" s="3" t="s">
        <v>133</v>
      </c>
      <c r="D108" s="3">
        <v>1</v>
      </c>
      <c r="E108" s="3">
        <v>750</v>
      </c>
      <c r="F108" s="3">
        <v>11</v>
      </c>
      <c r="G108" s="3">
        <v>11</v>
      </c>
      <c r="H108" s="3">
        <v>0</v>
      </c>
      <c r="I108" s="3">
        <v>0</v>
      </c>
      <c r="J108" s="3">
        <v>0</v>
      </c>
      <c r="K108" s="3">
        <v>0</v>
      </c>
      <c r="L108" s="3" t="s">
        <v>17</v>
      </c>
      <c r="M108" s="3" t="s">
        <v>21</v>
      </c>
      <c r="N108" s="2"/>
      <c r="O108" s="2"/>
      <c r="P108" s="3" t="str">
        <f>IF(OR(COUNTIF('ثبت لیبل'!$B$11:$B$1010,TRIM(LEFT(C108,FIND("-",C108&amp;"-")-1)))&gt;0,COUNTIF('ثبت لیبل'!$B$11:$B$1010,SUBSTITUTE(TRIM(LEFT(C108,FIND("-",C108&amp;"-")-1)),"GD",""))&gt;0),"موجود","")</f>
        <v/>
      </c>
    </row>
    <row r="109" spans="1:16">
      <c r="A109" s="3">
        <v>108</v>
      </c>
      <c r="B109" s="3" t="s">
        <v>15</v>
      </c>
      <c r="C109" s="3" t="s">
        <v>134</v>
      </c>
      <c r="D109" s="3">
        <v>1.19</v>
      </c>
      <c r="E109" s="3">
        <v>750</v>
      </c>
      <c r="F109" s="3">
        <v>12</v>
      </c>
      <c r="G109" s="3">
        <v>12</v>
      </c>
      <c r="H109" s="3">
        <v>0</v>
      </c>
      <c r="I109" s="3">
        <v>0</v>
      </c>
      <c r="J109" s="3">
        <v>0</v>
      </c>
      <c r="K109" s="3">
        <v>0</v>
      </c>
      <c r="L109" s="3" t="s">
        <v>17</v>
      </c>
      <c r="M109" s="3" t="s">
        <v>18</v>
      </c>
      <c r="N109" s="2"/>
      <c r="O109" s="2"/>
      <c r="P109" s="3" t="str">
        <f>IF(OR(COUNTIF('ثبت لیبل'!$B$11:$B$1010,TRIM(LEFT(C109,FIND("-",C109&amp;"-")-1)))&gt;0,COUNTIF('ثبت لیبل'!$B$11:$B$1010,SUBSTITUTE(TRIM(LEFT(C109,FIND("-",C109&amp;"-")-1)),"GD",""))&gt;0),"موجود","")</f>
        <v/>
      </c>
    </row>
    <row r="110" spans="1:16">
      <c r="A110" s="3">
        <v>109</v>
      </c>
      <c r="B110" s="3" t="s">
        <v>15</v>
      </c>
      <c r="C110" s="3" t="s">
        <v>135</v>
      </c>
      <c r="D110" s="3">
        <v>0.88</v>
      </c>
      <c r="E110" s="3">
        <v>750</v>
      </c>
      <c r="F110" s="3">
        <v>12</v>
      </c>
      <c r="G110" s="3">
        <v>18</v>
      </c>
      <c r="H110" s="3">
        <v>0</v>
      </c>
      <c r="I110" s="3">
        <v>0</v>
      </c>
      <c r="J110" s="3">
        <v>0</v>
      </c>
      <c r="K110" s="3">
        <v>0</v>
      </c>
      <c r="L110" s="3" t="s">
        <v>17</v>
      </c>
      <c r="M110" s="3" t="s">
        <v>21</v>
      </c>
      <c r="N110" s="2"/>
      <c r="O110" s="2"/>
      <c r="P110" s="3" t="str">
        <f>IF(OR(COUNTIF('ثبت لیبل'!$B$11:$B$1010,TRIM(LEFT(C110,FIND("-",C110&amp;"-")-1)))&gt;0,COUNTIF('ثبت لیبل'!$B$11:$B$1010,SUBSTITUTE(TRIM(LEFT(C110,FIND("-",C110&amp;"-")-1)),"GD",""))&gt;0),"موجود","")</f>
        <v/>
      </c>
    </row>
    <row r="111" spans="1:16">
      <c r="A111" s="3">
        <v>110</v>
      </c>
      <c r="B111" s="3" t="s">
        <v>15</v>
      </c>
      <c r="C111" s="3" t="s">
        <v>136</v>
      </c>
      <c r="D111" s="3">
        <v>0.76</v>
      </c>
      <c r="E111" s="3">
        <v>750</v>
      </c>
      <c r="F111" s="3">
        <v>12</v>
      </c>
      <c r="G111" s="3">
        <v>18</v>
      </c>
      <c r="H111" s="3">
        <v>0</v>
      </c>
      <c r="I111" s="3">
        <v>0</v>
      </c>
      <c r="J111" s="3">
        <v>0</v>
      </c>
      <c r="K111" s="3">
        <v>0</v>
      </c>
      <c r="L111" s="3" t="s">
        <v>17</v>
      </c>
      <c r="M111" s="3" t="s">
        <v>21</v>
      </c>
      <c r="N111" s="2"/>
      <c r="O111" s="2"/>
      <c r="P111" s="3" t="str">
        <f>IF(OR(COUNTIF('ثبت لیبل'!$B$11:$B$1010,TRIM(LEFT(C111,FIND("-",C111&amp;"-")-1)))&gt;0,COUNTIF('ثبت لیبل'!$B$11:$B$1010,SUBSTITUTE(TRIM(LEFT(C111,FIND("-",C111&amp;"-")-1)),"GD",""))&gt;0),"موجود","")</f>
        <v/>
      </c>
    </row>
    <row r="112" spans="1:16">
      <c r="A112" s="3">
        <v>111</v>
      </c>
      <c r="B112" s="3" t="s">
        <v>15</v>
      </c>
      <c r="C112" s="3" t="s">
        <v>137</v>
      </c>
      <c r="D112" s="3">
        <v>1.6</v>
      </c>
      <c r="E112" s="3">
        <v>750</v>
      </c>
      <c r="F112" s="3">
        <v>13</v>
      </c>
      <c r="G112" s="3">
        <v>19</v>
      </c>
      <c r="H112" s="3">
        <v>0</v>
      </c>
      <c r="I112" s="3">
        <v>0</v>
      </c>
      <c r="J112" s="3">
        <v>0</v>
      </c>
      <c r="K112" s="3">
        <v>0</v>
      </c>
      <c r="L112" s="3" t="s">
        <v>17</v>
      </c>
      <c r="M112" s="3" t="s">
        <v>60</v>
      </c>
      <c r="N112" s="2"/>
      <c r="O112" s="2"/>
      <c r="P112" s="3" t="str">
        <f>IF(OR(COUNTIF('ثبت لیبل'!$B$11:$B$1010,TRIM(LEFT(C112,FIND("-",C112&amp;"-")-1)))&gt;0,COUNTIF('ثبت لیبل'!$B$11:$B$1010,SUBSTITUTE(TRIM(LEFT(C112,FIND("-",C112&amp;"-")-1)),"GD",""))&gt;0),"موجود","")</f>
        <v/>
      </c>
    </row>
    <row r="113" spans="1:16">
      <c r="A113" s="3">
        <v>112</v>
      </c>
      <c r="B113" s="3" t="s">
        <v>15</v>
      </c>
      <c r="C113" s="3" t="s">
        <v>138</v>
      </c>
      <c r="D113" s="3">
        <v>0.4</v>
      </c>
      <c r="E113" s="3">
        <v>750</v>
      </c>
      <c r="F113" s="3">
        <v>12</v>
      </c>
      <c r="G113" s="3">
        <v>18</v>
      </c>
      <c r="H113" s="3">
        <v>0</v>
      </c>
      <c r="I113" s="3">
        <v>0</v>
      </c>
      <c r="J113" s="3">
        <v>0</v>
      </c>
      <c r="K113" s="3">
        <v>0</v>
      </c>
      <c r="L113" s="3" t="s">
        <v>17</v>
      </c>
      <c r="M113" s="3" t="s">
        <v>60</v>
      </c>
      <c r="N113" s="2"/>
      <c r="O113" s="2"/>
      <c r="P113" s="3" t="str">
        <f>IF(OR(COUNTIF('ثبت لیبل'!$B$11:$B$1010,TRIM(LEFT(C113,FIND("-",C113&amp;"-")-1)))&gt;0,COUNTIF('ثبت لیبل'!$B$11:$B$1010,SUBSTITUTE(TRIM(LEFT(C113,FIND("-",C113&amp;"-")-1)),"GD",""))&gt;0),"موجود","")</f>
        <v/>
      </c>
    </row>
    <row r="114" spans="1:16">
      <c r="A114" s="3">
        <v>113</v>
      </c>
      <c r="B114" s="3" t="s">
        <v>15</v>
      </c>
      <c r="C114" s="3" t="s">
        <v>139</v>
      </c>
      <c r="D114" s="3">
        <v>0.51</v>
      </c>
      <c r="E114" s="3">
        <v>750</v>
      </c>
      <c r="F114" s="3">
        <v>12</v>
      </c>
      <c r="G114" s="3">
        <v>18</v>
      </c>
      <c r="H114" s="3">
        <v>0</v>
      </c>
      <c r="I114" s="3">
        <v>0</v>
      </c>
      <c r="J114" s="3">
        <v>0</v>
      </c>
      <c r="K114" s="3">
        <v>0</v>
      </c>
      <c r="L114" s="3" t="s">
        <v>17</v>
      </c>
      <c r="M114" s="3" t="s">
        <v>60</v>
      </c>
      <c r="N114" s="2"/>
      <c r="O114" s="2"/>
      <c r="P114" s="3" t="str">
        <f>IF(OR(COUNTIF('ثبت لیبل'!$B$11:$B$1010,TRIM(LEFT(C114,FIND("-",C114&amp;"-")-1)))&gt;0,COUNTIF('ثبت لیبل'!$B$11:$B$1010,SUBSTITUTE(TRIM(LEFT(C114,FIND("-",C114&amp;"-")-1)),"GD",""))&gt;0),"موجود","")</f>
        <v/>
      </c>
    </row>
    <row r="115" spans="1:16">
      <c r="A115" s="3">
        <v>114</v>
      </c>
      <c r="B115" s="3" t="s">
        <v>15</v>
      </c>
      <c r="C115" s="3" t="s">
        <v>140</v>
      </c>
      <c r="D115" s="3">
        <v>0.91</v>
      </c>
      <c r="E115" s="3">
        <v>750</v>
      </c>
      <c r="F115" s="3">
        <v>11</v>
      </c>
      <c r="G115" s="3">
        <v>17</v>
      </c>
      <c r="H115" s="3">
        <v>0</v>
      </c>
      <c r="I115" s="3">
        <v>0</v>
      </c>
      <c r="J115" s="3">
        <v>0</v>
      </c>
      <c r="K115" s="3">
        <v>0</v>
      </c>
      <c r="L115" s="3" t="s">
        <v>17</v>
      </c>
      <c r="M115" s="3" t="s">
        <v>21</v>
      </c>
      <c r="N115" s="2"/>
      <c r="O115" s="2"/>
      <c r="P115" s="3" t="str">
        <f>IF(OR(COUNTIF('ثبت لیبل'!$B$11:$B$1010,TRIM(LEFT(C115,FIND("-",C115&amp;"-")-1)))&gt;0,COUNTIF('ثبت لیبل'!$B$11:$B$1010,SUBSTITUTE(TRIM(LEFT(C115,FIND("-",C115&amp;"-")-1)),"GD",""))&gt;0),"موجود","")</f>
        <v/>
      </c>
    </row>
    <row r="116" spans="1:16">
      <c r="A116" s="3">
        <v>115</v>
      </c>
      <c r="B116" s="3" t="s">
        <v>15</v>
      </c>
      <c r="C116" s="3" t="s">
        <v>141</v>
      </c>
      <c r="D116" s="3">
        <v>0.55000000000000004</v>
      </c>
      <c r="E116" s="3">
        <v>750</v>
      </c>
      <c r="F116" s="3">
        <v>11</v>
      </c>
      <c r="G116" s="3">
        <v>17</v>
      </c>
      <c r="H116" s="3">
        <v>0</v>
      </c>
      <c r="I116" s="3">
        <v>0</v>
      </c>
      <c r="J116" s="3">
        <v>0</v>
      </c>
      <c r="K116" s="3">
        <v>0</v>
      </c>
      <c r="L116" s="3" t="s">
        <v>17</v>
      </c>
      <c r="M116" s="3" t="s">
        <v>21</v>
      </c>
      <c r="N116" s="2"/>
      <c r="O116" s="2"/>
      <c r="P116" s="3" t="str">
        <f>IF(OR(COUNTIF('ثبت لیبل'!$B$11:$B$1010,TRIM(LEFT(C116,FIND("-",C116&amp;"-")-1)))&gt;0,COUNTIF('ثبت لیبل'!$B$11:$B$1010,SUBSTITUTE(TRIM(LEFT(C116,FIND("-",C116&amp;"-")-1)),"GD",""))&gt;0),"موجود","")</f>
        <v/>
      </c>
    </row>
    <row r="117" spans="1:16">
      <c r="A117" s="3">
        <v>116</v>
      </c>
      <c r="B117" s="3" t="s">
        <v>15</v>
      </c>
      <c r="C117" s="3" t="s">
        <v>142</v>
      </c>
      <c r="D117" s="3">
        <v>1.1499999999999999</v>
      </c>
      <c r="E117" s="3">
        <v>750</v>
      </c>
      <c r="F117" s="3">
        <v>12</v>
      </c>
      <c r="G117" s="3">
        <v>18</v>
      </c>
      <c r="H117" s="3">
        <v>0</v>
      </c>
      <c r="I117" s="3">
        <v>0</v>
      </c>
      <c r="J117" s="3">
        <v>0</v>
      </c>
      <c r="K117" s="3">
        <v>0</v>
      </c>
      <c r="L117" s="3" t="s">
        <v>17</v>
      </c>
      <c r="M117" s="3" t="s">
        <v>21</v>
      </c>
      <c r="N117" s="2"/>
      <c r="O117" s="2"/>
      <c r="P117" s="3" t="str">
        <f>IF(OR(COUNTIF('ثبت لیبل'!$B$11:$B$1010,TRIM(LEFT(C117,FIND("-",C117&amp;"-")-1)))&gt;0,COUNTIF('ثبت لیبل'!$B$11:$B$1010,SUBSTITUTE(TRIM(LEFT(C117,FIND("-",C117&amp;"-")-1)),"GD",""))&gt;0),"موجود","")</f>
        <v/>
      </c>
    </row>
    <row r="118" spans="1:16">
      <c r="A118" s="3">
        <v>117</v>
      </c>
      <c r="B118" s="3" t="s">
        <v>15</v>
      </c>
      <c r="C118" s="3" t="s">
        <v>143</v>
      </c>
      <c r="D118" s="3">
        <v>0.94</v>
      </c>
      <c r="E118" s="3">
        <v>750</v>
      </c>
      <c r="F118" s="3">
        <v>12</v>
      </c>
      <c r="G118" s="3">
        <v>18</v>
      </c>
      <c r="H118" s="3">
        <v>0</v>
      </c>
      <c r="I118" s="3">
        <v>0</v>
      </c>
      <c r="J118" s="3">
        <v>0</v>
      </c>
      <c r="K118" s="3">
        <v>0</v>
      </c>
      <c r="L118" s="3" t="s">
        <v>17</v>
      </c>
      <c r="M118" s="3" t="s">
        <v>114</v>
      </c>
      <c r="N118" s="2"/>
      <c r="O118" s="2"/>
      <c r="P118" s="3" t="str">
        <f>IF(OR(COUNTIF('ثبت لیبل'!$B$11:$B$1010,TRIM(LEFT(C118,FIND("-",C118&amp;"-")-1)))&gt;0,COUNTIF('ثبت لیبل'!$B$11:$B$1010,SUBSTITUTE(TRIM(LEFT(C118,FIND("-",C118&amp;"-")-1)),"GD",""))&gt;0),"موجود","")</f>
        <v/>
      </c>
    </row>
    <row r="119" spans="1:16">
      <c r="A119" s="3">
        <v>118</v>
      </c>
      <c r="B119" s="3" t="s">
        <v>15</v>
      </c>
      <c r="C119" s="3" t="s">
        <v>144</v>
      </c>
      <c r="D119" s="3">
        <v>0.95</v>
      </c>
      <c r="E119" s="3">
        <v>750</v>
      </c>
      <c r="F119" s="3">
        <v>12</v>
      </c>
      <c r="G119" s="3">
        <v>18</v>
      </c>
      <c r="H119" s="3">
        <v>0</v>
      </c>
      <c r="I119" s="3">
        <v>0</v>
      </c>
      <c r="J119" s="3">
        <v>0</v>
      </c>
      <c r="K119" s="3">
        <v>0</v>
      </c>
      <c r="L119" s="3" t="s">
        <v>17</v>
      </c>
      <c r="M119" s="3" t="s">
        <v>114</v>
      </c>
      <c r="N119" s="2"/>
      <c r="O119" s="2"/>
      <c r="P119" s="3" t="str">
        <f>IF(OR(COUNTIF('ثبت لیبل'!$B$11:$B$1010,TRIM(LEFT(C119,FIND("-",C119&amp;"-")-1)))&gt;0,COUNTIF('ثبت لیبل'!$B$11:$B$1010,SUBSTITUTE(TRIM(LEFT(C119,FIND("-",C119&amp;"-")-1)),"GD",""))&gt;0),"موجود","")</f>
        <v/>
      </c>
    </row>
    <row r="120" spans="1:16">
      <c r="A120" s="3">
        <v>119</v>
      </c>
      <c r="B120" s="3" t="s">
        <v>15</v>
      </c>
      <c r="C120" s="3" t="s">
        <v>145</v>
      </c>
      <c r="D120" s="3">
        <v>0.93</v>
      </c>
      <c r="E120" s="3">
        <v>750</v>
      </c>
      <c r="F120" s="3">
        <v>12</v>
      </c>
      <c r="G120" s="3">
        <v>18</v>
      </c>
      <c r="H120" s="3">
        <v>0</v>
      </c>
      <c r="I120" s="3">
        <v>0</v>
      </c>
      <c r="J120" s="3">
        <v>0</v>
      </c>
      <c r="K120" s="3">
        <v>0</v>
      </c>
      <c r="L120" s="3" t="s">
        <v>17</v>
      </c>
      <c r="M120" s="3" t="s">
        <v>114</v>
      </c>
      <c r="N120" s="2"/>
      <c r="O120" s="2"/>
      <c r="P120" s="3" t="str">
        <f>IF(OR(COUNTIF('ثبت لیبل'!$B$11:$B$1010,TRIM(LEFT(C120,FIND("-",C120&amp;"-")-1)))&gt;0,COUNTIF('ثبت لیبل'!$B$11:$B$1010,SUBSTITUTE(TRIM(LEFT(C120,FIND("-",C120&amp;"-")-1)),"GD",""))&gt;0),"موجود","")</f>
        <v/>
      </c>
    </row>
    <row r="121" spans="1:16">
      <c r="A121" s="3">
        <v>120</v>
      </c>
      <c r="B121" s="3" t="s">
        <v>15</v>
      </c>
      <c r="C121" s="3" t="s">
        <v>146</v>
      </c>
      <c r="D121" s="3">
        <v>2.6</v>
      </c>
      <c r="E121" s="3">
        <v>750</v>
      </c>
      <c r="F121" s="3">
        <v>19</v>
      </c>
      <c r="G121" s="3">
        <v>25</v>
      </c>
      <c r="H121" s="3">
        <v>0</v>
      </c>
      <c r="I121" s="3">
        <v>0</v>
      </c>
      <c r="J121" s="3">
        <v>0</v>
      </c>
      <c r="K121" s="3">
        <v>0</v>
      </c>
      <c r="L121" s="3" t="s">
        <v>17</v>
      </c>
      <c r="M121" s="3" t="s">
        <v>18</v>
      </c>
      <c r="N121" s="2"/>
      <c r="O121" s="2"/>
      <c r="P121" s="3" t="str">
        <f>IF(OR(COUNTIF('ثبت لیبل'!$B$11:$B$1010,TRIM(LEFT(C121,FIND("-",C121&amp;"-")-1)))&gt;0,COUNTIF('ثبت لیبل'!$B$11:$B$1010,SUBSTITUTE(TRIM(LEFT(C121,FIND("-",C121&amp;"-")-1)),"GD",""))&gt;0),"موجود","")</f>
        <v/>
      </c>
    </row>
    <row r="122" spans="1:16">
      <c r="A122" s="3">
        <v>121</v>
      </c>
      <c r="B122" s="3" t="s">
        <v>15</v>
      </c>
      <c r="C122" s="3" t="s">
        <v>147</v>
      </c>
      <c r="D122" s="3">
        <v>1.23</v>
      </c>
      <c r="E122" s="3">
        <v>750</v>
      </c>
      <c r="F122" s="3">
        <v>19</v>
      </c>
      <c r="G122" s="3">
        <v>25</v>
      </c>
      <c r="H122" s="3">
        <v>0</v>
      </c>
      <c r="I122" s="3">
        <v>0</v>
      </c>
      <c r="J122" s="3">
        <v>0</v>
      </c>
      <c r="K122" s="3">
        <v>0</v>
      </c>
      <c r="L122" s="3" t="s">
        <v>17</v>
      </c>
      <c r="M122" s="3" t="s">
        <v>46</v>
      </c>
      <c r="N122" s="2"/>
      <c r="O122" s="2"/>
      <c r="P122" s="3" t="str">
        <f>IF(OR(COUNTIF('ثبت لیبل'!$B$11:$B$1010,TRIM(LEFT(C122,FIND("-",C122&amp;"-")-1)))&gt;0,COUNTIF('ثبت لیبل'!$B$11:$B$1010,SUBSTITUTE(TRIM(LEFT(C122,FIND("-",C122&amp;"-")-1)),"GD",""))&gt;0),"موجود","")</f>
        <v/>
      </c>
    </row>
    <row r="123" spans="1:16">
      <c r="A123" s="3">
        <v>122</v>
      </c>
      <c r="B123" s="3" t="s">
        <v>15</v>
      </c>
      <c r="C123" s="3" t="s">
        <v>148</v>
      </c>
      <c r="D123" s="3">
        <v>0.39</v>
      </c>
      <c r="E123" s="3">
        <v>750</v>
      </c>
      <c r="F123" s="3">
        <v>12</v>
      </c>
      <c r="G123" s="3">
        <v>18</v>
      </c>
      <c r="H123" s="3">
        <v>0</v>
      </c>
      <c r="I123" s="3">
        <v>0</v>
      </c>
      <c r="J123" s="3">
        <v>0</v>
      </c>
      <c r="K123" s="3">
        <v>0</v>
      </c>
      <c r="L123" s="3" t="s">
        <v>17</v>
      </c>
      <c r="M123" s="3" t="s">
        <v>21</v>
      </c>
      <c r="N123" s="2"/>
      <c r="O123" s="2"/>
      <c r="P123" s="3" t="str">
        <f>IF(OR(COUNTIF('ثبت لیبل'!$B$11:$B$1010,TRIM(LEFT(C123,FIND("-",C123&amp;"-")-1)))&gt;0,COUNTIF('ثبت لیبل'!$B$11:$B$1010,SUBSTITUTE(TRIM(LEFT(C123,FIND("-",C123&amp;"-")-1)),"GD",""))&gt;0),"موجود","")</f>
        <v/>
      </c>
    </row>
    <row r="124" spans="1:16">
      <c r="A124" s="3">
        <v>123</v>
      </c>
      <c r="B124" s="3" t="s">
        <v>15</v>
      </c>
      <c r="C124" s="3" t="s">
        <v>149</v>
      </c>
      <c r="D124" s="3">
        <v>0.3</v>
      </c>
      <c r="E124" s="3">
        <v>750</v>
      </c>
      <c r="F124" s="3">
        <v>12</v>
      </c>
      <c r="G124" s="3">
        <v>18</v>
      </c>
      <c r="H124" s="3">
        <v>0</v>
      </c>
      <c r="I124" s="3">
        <v>0</v>
      </c>
      <c r="J124" s="3">
        <v>0</v>
      </c>
      <c r="K124" s="3">
        <v>0</v>
      </c>
      <c r="L124" s="3" t="s">
        <v>17</v>
      </c>
      <c r="M124" s="3" t="s">
        <v>21</v>
      </c>
      <c r="N124" s="2"/>
      <c r="O124" s="2"/>
      <c r="P124" s="3" t="str">
        <f>IF(OR(COUNTIF('ثبت لیبل'!$B$11:$B$1010,TRIM(LEFT(C124,FIND("-",C124&amp;"-")-1)))&gt;0,COUNTIF('ثبت لیبل'!$B$11:$B$1010,SUBSTITUTE(TRIM(LEFT(C124,FIND("-",C124&amp;"-")-1)),"GD",""))&gt;0),"موجود","")</f>
        <v/>
      </c>
    </row>
    <row r="125" spans="1:16">
      <c r="A125" s="3">
        <v>124</v>
      </c>
      <c r="B125" s="3" t="s">
        <v>15</v>
      </c>
      <c r="C125" s="3" t="s">
        <v>150</v>
      </c>
      <c r="D125" s="3">
        <v>0.47</v>
      </c>
      <c r="E125" s="3">
        <v>750</v>
      </c>
      <c r="F125" s="3">
        <v>12</v>
      </c>
      <c r="G125" s="3">
        <v>18</v>
      </c>
      <c r="H125" s="3">
        <v>0</v>
      </c>
      <c r="I125" s="3">
        <v>0</v>
      </c>
      <c r="J125" s="3">
        <v>0</v>
      </c>
      <c r="K125" s="3">
        <v>0</v>
      </c>
      <c r="L125" s="3" t="s">
        <v>17</v>
      </c>
      <c r="M125" s="3" t="s">
        <v>21</v>
      </c>
      <c r="N125" s="2"/>
      <c r="O125" s="2"/>
      <c r="P125" s="3" t="str">
        <f>IF(OR(COUNTIF('ثبت لیبل'!$B$11:$B$1010,TRIM(LEFT(C125,FIND("-",C125&amp;"-")-1)))&gt;0,COUNTIF('ثبت لیبل'!$B$11:$B$1010,SUBSTITUTE(TRIM(LEFT(C125,FIND("-",C125&amp;"-")-1)),"GD",""))&gt;0),"موجود","")</f>
        <v/>
      </c>
    </row>
    <row r="126" spans="1:16">
      <c r="A126" s="3">
        <v>125</v>
      </c>
      <c r="B126" s="3" t="s">
        <v>15</v>
      </c>
      <c r="C126" s="3" t="s">
        <v>151</v>
      </c>
      <c r="D126" s="3">
        <v>0.44</v>
      </c>
      <c r="E126" s="3">
        <v>750</v>
      </c>
      <c r="F126" s="3">
        <v>12</v>
      </c>
      <c r="G126" s="3">
        <v>18</v>
      </c>
      <c r="H126" s="3">
        <v>0</v>
      </c>
      <c r="I126" s="3">
        <v>0</v>
      </c>
      <c r="J126" s="3">
        <v>0</v>
      </c>
      <c r="K126" s="3">
        <v>0</v>
      </c>
      <c r="L126" s="3" t="s">
        <v>17</v>
      </c>
      <c r="M126" s="3" t="s">
        <v>21</v>
      </c>
      <c r="N126" s="2"/>
      <c r="O126" s="2"/>
      <c r="P126" s="3" t="str">
        <f>IF(OR(COUNTIF('ثبت لیبل'!$B$11:$B$1010,TRIM(LEFT(C126,FIND("-",C126&amp;"-")-1)))&gt;0,COUNTIF('ثبت لیبل'!$B$11:$B$1010,SUBSTITUTE(TRIM(LEFT(C126,FIND("-",C126&amp;"-")-1)),"GD",""))&gt;0),"موجود","")</f>
        <v/>
      </c>
    </row>
    <row r="127" spans="1:16">
      <c r="A127" s="3">
        <v>126</v>
      </c>
      <c r="B127" s="3" t="s">
        <v>15</v>
      </c>
      <c r="C127" s="3" t="s">
        <v>152</v>
      </c>
      <c r="D127" s="3">
        <v>0.32</v>
      </c>
      <c r="E127" s="3">
        <v>750</v>
      </c>
      <c r="F127" s="3">
        <v>12</v>
      </c>
      <c r="G127" s="3">
        <v>18</v>
      </c>
      <c r="H127" s="3">
        <v>0</v>
      </c>
      <c r="I127" s="3">
        <v>0</v>
      </c>
      <c r="J127" s="3">
        <v>0</v>
      </c>
      <c r="K127" s="3">
        <v>0</v>
      </c>
      <c r="L127" s="3" t="s">
        <v>17</v>
      </c>
      <c r="M127" s="3" t="s">
        <v>21</v>
      </c>
      <c r="N127" s="2"/>
      <c r="O127" s="2"/>
      <c r="P127" s="3" t="str">
        <f>IF(OR(COUNTIF('ثبت لیبل'!$B$11:$B$1010,TRIM(LEFT(C127,FIND("-",C127&amp;"-")-1)))&gt;0,COUNTIF('ثبت لیبل'!$B$11:$B$1010,SUBSTITUTE(TRIM(LEFT(C127,FIND("-",C127&amp;"-")-1)),"GD",""))&gt;0),"موجود","")</f>
        <v/>
      </c>
    </row>
    <row r="128" spans="1:16">
      <c r="A128" s="3">
        <v>127</v>
      </c>
      <c r="B128" s="3" t="s">
        <v>15</v>
      </c>
      <c r="C128" s="3" t="s">
        <v>153</v>
      </c>
      <c r="D128" s="3">
        <v>0.45</v>
      </c>
      <c r="E128" s="3">
        <v>750</v>
      </c>
      <c r="F128" s="3">
        <v>12</v>
      </c>
      <c r="G128" s="3">
        <v>18</v>
      </c>
      <c r="H128" s="3">
        <v>0</v>
      </c>
      <c r="I128" s="3">
        <v>0</v>
      </c>
      <c r="J128" s="3">
        <v>0</v>
      </c>
      <c r="K128" s="3">
        <v>0</v>
      </c>
      <c r="L128" s="3" t="s">
        <v>17</v>
      </c>
      <c r="M128" s="3" t="s">
        <v>21</v>
      </c>
      <c r="N128" s="2"/>
      <c r="O128" s="2"/>
      <c r="P128" s="3" t="str">
        <f>IF(OR(COUNTIF('ثبت لیبل'!$B$11:$B$1010,TRIM(LEFT(C128,FIND("-",C128&amp;"-")-1)))&gt;0,COUNTIF('ثبت لیبل'!$B$11:$B$1010,SUBSTITUTE(TRIM(LEFT(C128,FIND("-",C128&amp;"-")-1)),"GD",""))&gt;0),"موجود","")</f>
        <v/>
      </c>
    </row>
    <row r="129" spans="1:16">
      <c r="A129" s="3">
        <v>128</v>
      </c>
      <c r="B129" s="3" t="s">
        <v>15</v>
      </c>
      <c r="C129" s="3" t="s">
        <v>154</v>
      </c>
      <c r="D129" s="3">
        <v>3.62</v>
      </c>
      <c r="E129" s="3">
        <v>750</v>
      </c>
      <c r="F129" s="3">
        <v>9</v>
      </c>
      <c r="G129" s="3">
        <v>15</v>
      </c>
      <c r="H129" s="3">
        <v>0</v>
      </c>
      <c r="I129" s="3">
        <v>0</v>
      </c>
      <c r="J129" s="3">
        <v>0</v>
      </c>
      <c r="K129" s="3">
        <v>0</v>
      </c>
      <c r="L129" s="3" t="s">
        <v>17</v>
      </c>
      <c r="M129" s="3" t="s">
        <v>46</v>
      </c>
      <c r="N129" s="2"/>
      <c r="O129" s="2"/>
      <c r="P129" s="3" t="str">
        <f>IF(OR(COUNTIF('ثبت لیبل'!$B$11:$B$1010,TRIM(LEFT(C129,FIND("-",C129&amp;"-")-1)))&gt;0,COUNTIF('ثبت لیبل'!$B$11:$B$1010,SUBSTITUTE(TRIM(LEFT(C129,FIND("-",C129&amp;"-")-1)),"GD",""))&gt;0),"موجود","")</f>
        <v/>
      </c>
    </row>
    <row r="130" spans="1:16">
      <c r="A130" s="3">
        <v>129</v>
      </c>
      <c r="B130" s="3" t="s">
        <v>15</v>
      </c>
      <c r="C130" s="3" t="s">
        <v>155</v>
      </c>
      <c r="D130" s="3">
        <v>2.44</v>
      </c>
      <c r="E130" s="3">
        <v>750</v>
      </c>
      <c r="F130" s="3">
        <v>8</v>
      </c>
      <c r="G130" s="3">
        <v>14</v>
      </c>
      <c r="H130" s="3">
        <v>0</v>
      </c>
      <c r="I130" s="3">
        <v>0</v>
      </c>
      <c r="J130" s="3">
        <v>0</v>
      </c>
      <c r="K130" s="3">
        <v>0</v>
      </c>
      <c r="L130" s="3" t="s">
        <v>17</v>
      </c>
      <c r="M130" s="3" t="s">
        <v>46</v>
      </c>
      <c r="N130" s="2"/>
      <c r="O130" s="2"/>
      <c r="P130" s="3" t="str">
        <f>IF(OR(COUNTIF('ثبت لیبل'!$B$11:$B$1010,TRIM(LEFT(C130,FIND("-",C130&amp;"-")-1)))&gt;0,COUNTIF('ثبت لیبل'!$B$11:$B$1010,SUBSTITUTE(TRIM(LEFT(C130,FIND("-",C130&amp;"-")-1)),"GD",""))&gt;0),"موجود","")</f>
        <v/>
      </c>
    </row>
    <row r="131" spans="1:16">
      <c r="A131" s="3">
        <v>130</v>
      </c>
      <c r="B131" s="3" t="s">
        <v>15</v>
      </c>
      <c r="C131" s="3" t="s">
        <v>156</v>
      </c>
      <c r="D131" s="3">
        <v>2.4900000000000002</v>
      </c>
      <c r="E131" s="3">
        <v>750</v>
      </c>
      <c r="F131" s="3">
        <v>8</v>
      </c>
      <c r="G131" s="3">
        <v>14</v>
      </c>
      <c r="H131" s="3">
        <v>0</v>
      </c>
      <c r="I131" s="3">
        <v>0</v>
      </c>
      <c r="J131" s="3">
        <v>0</v>
      </c>
      <c r="K131" s="3">
        <v>0</v>
      </c>
      <c r="L131" s="3" t="s">
        <v>17</v>
      </c>
      <c r="M131" s="3" t="s">
        <v>46</v>
      </c>
      <c r="N131" s="2"/>
      <c r="O131" s="2"/>
      <c r="P131" s="3" t="str">
        <f>IF(OR(COUNTIF('ثبت لیبل'!$B$11:$B$1010,TRIM(LEFT(C131,FIND("-",C131&amp;"-")-1)))&gt;0,COUNTIF('ثبت لیبل'!$B$11:$B$1010,SUBSTITUTE(TRIM(LEFT(C131,FIND("-",C131&amp;"-")-1)),"GD",""))&gt;0),"موجود","")</f>
        <v/>
      </c>
    </row>
    <row r="132" spans="1:16">
      <c r="A132" s="3">
        <v>131</v>
      </c>
      <c r="B132" s="3" t="s">
        <v>15</v>
      </c>
      <c r="C132" s="3" t="s">
        <v>157</v>
      </c>
      <c r="D132" s="3">
        <v>3.08</v>
      </c>
      <c r="E132" s="3">
        <v>750</v>
      </c>
      <c r="F132" s="3">
        <v>8</v>
      </c>
      <c r="G132" s="3">
        <v>14</v>
      </c>
      <c r="H132" s="3">
        <v>0</v>
      </c>
      <c r="I132" s="3">
        <v>0</v>
      </c>
      <c r="J132" s="3">
        <v>0</v>
      </c>
      <c r="K132" s="3">
        <v>0</v>
      </c>
      <c r="L132" s="3" t="s">
        <v>17</v>
      </c>
      <c r="M132" s="3" t="s">
        <v>46</v>
      </c>
      <c r="N132" s="2"/>
      <c r="O132" s="2"/>
      <c r="P132" s="3" t="str">
        <f>IF(OR(COUNTIF('ثبت لیبل'!$B$11:$B$1010,TRIM(LEFT(C132,FIND("-",C132&amp;"-")-1)))&gt;0,COUNTIF('ثبت لیبل'!$B$11:$B$1010,SUBSTITUTE(TRIM(LEFT(C132,FIND("-",C132&amp;"-")-1)),"GD",""))&gt;0),"موجود","")</f>
        <v/>
      </c>
    </row>
    <row r="133" spans="1:16">
      <c r="A133" s="3">
        <v>132</v>
      </c>
      <c r="B133" s="3" t="s">
        <v>15</v>
      </c>
      <c r="C133" s="3" t="s">
        <v>158</v>
      </c>
      <c r="D133" s="3">
        <v>2.99</v>
      </c>
      <c r="E133" s="3">
        <v>750</v>
      </c>
      <c r="F133" s="3">
        <v>8</v>
      </c>
      <c r="G133" s="3">
        <v>14</v>
      </c>
      <c r="H133" s="3">
        <v>0</v>
      </c>
      <c r="I133" s="3">
        <v>0</v>
      </c>
      <c r="J133" s="3">
        <v>0</v>
      </c>
      <c r="K133" s="3">
        <v>0</v>
      </c>
      <c r="L133" s="3" t="s">
        <v>17</v>
      </c>
      <c r="M133" s="3" t="s">
        <v>46</v>
      </c>
      <c r="N133" s="2"/>
      <c r="O133" s="2"/>
      <c r="P133" s="3" t="str">
        <f>IF(OR(COUNTIF('ثبت لیبل'!$B$11:$B$1010,TRIM(LEFT(C133,FIND("-",C133&amp;"-")-1)))&gt;0,COUNTIF('ثبت لیبل'!$B$11:$B$1010,SUBSTITUTE(TRIM(LEFT(C133,FIND("-",C133&amp;"-")-1)),"GD",""))&gt;0),"موجود","")</f>
        <v/>
      </c>
    </row>
    <row r="134" spans="1:16">
      <c r="A134" s="3">
        <v>133</v>
      </c>
      <c r="B134" s="3" t="s">
        <v>15</v>
      </c>
      <c r="C134" s="3" t="s">
        <v>159</v>
      </c>
      <c r="D134" s="3">
        <v>3.08</v>
      </c>
      <c r="E134" s="3">
        <v>750</v>
      </c>
      <c r="F134" s="3">
        <v>8</v>
      </c>
      <c r="G134" s="3">
        <v>14</v>
      </c>
      <c r="H134" s="3">
        <v>0</v>
      </c>
      <c r="I134" s="3">
        <v>0</v>
      </c>
      <c r="J134" s="3">
        <v>0</v>
      </c>
      <c r="K134" s="3">
        <v>0</v>
      </c>
      <c r="L134" s="3" t="s">
        <v>17</v>
      </c>
      <c r="M134" s="3" t="s">
        <v>46</v>
      </c>
      <c r="N134" s="2"/>
      <c r="O134" s="2"/>
      <c r="P134" s="3" t="str">
        <f>IF(OR(COUNTIF('ثبت لیبل'!$B$11:$B$1010,TRIM(LEFT(C134,FIND("-",C134&amp;"-")-1)))&gt;0,COUNTIF('ثبت لیبل'!$B$11:$B$1010,SUBSTITUTE(TRIM(LEFT(C134,FIND("-",C134&amp;"-")-1)),"GD",""))&gt;0),"موجود","")</f>
        <v/>
      </c>
    </row>
    <row r="135" spans="1:16">
      <c r="A135" s="3">
        <v>134</v>
      </c>
      <c r="B135" s="3" t="s">
        <v>15</v>
      </c>
      <c r="C135" s="3" t="s">
        <v>160</v>
      </c>
      <c r="D135" s="3">
        <v>0.53</v>
      </c>
      <c r="E135" s="3">
        <v>750</v>
      </c>
      <c r="F135" s="3">
        <v>12</v>
      </c>
      <c r="G135" s="3">
        <v>18</v>
      </c>
      <c r="H135" s="3">
        <v>0</v>
      </c>
      <c r="I135" s="3">
        <v>0</v>
      </c>
      <c r="J135" s="3">
        <v>0</v>
      </c>
      <c r="K135" s="3">
        <v>0</v>
      </c>
      <c r="L135" s="3" t="s">
        <v>17</v>
      </c>
      <c r="M135" s="3" t="s">
        <v>21</v>
      </c>
      <c r="N135" s="2"/>
      <c r="O135" s="2"/>
      <c r="P135" s="3" t="str">
        <f>IF(OR(COUNTIF('ثبت لیبل'!$B$11:$B$1010,TRIM(LEFT(C135,FIND("-",C135&amp;"-")-1)))&gt;0,COUNTIF('ثبت لیبل'!$B$11:$B$1010,SUBSTITUTE(TRIM(LEFT(C135,FIND("-",C135&amp;"-")-1)),"GD",""))&gt;0),"موجود","")</f>
        <v/>
      </c>
    </row>
    <row r="136" spans="1:16">
      <c r="A136" s="3">
        <v>135</v>
      </c>
      <c r="B136" s="3" t="s">
        <v>15</v>
      </c>
      <c r="C136" s="3" t="s">
        <v>161</v>
      </c>
      <c r="D136" s="3">
        <v>1.54</v>
      </c>
      <c r="E136" s="3">
        <v>750</v>
      </c>
      <c r="F136" s="3">
        <v>12</v>
      </c>
      <c r="G136" s="3">
        <v>18</v>
      </c>
      <c r="H136" s="3">
        <v>0</v>
      </c>
      <c r="I136" s="3">
        <v>0</v>
      </c>
      <c r="J136" s="3">
        <v>0</v>
      </c>
      <c r="K136" s="3">
        <v>0</v>
      </c>
      <c r="L136" s="3" t="s">
        <v>17</v>
      </c>
      <c r="M136" s="3" t="s">
        <v>21</v>
      </c>
      <c r="N136" s="2"/>
      <c r="O136" s="2"/>
      <c r="P136" s="3" t="str">
        <f>IF(OR(COUNTIF('ثبت لیبل'!$B$11:$B$1010,TRIM(LEFT(C136,FIND("-",C136&amp;"-")-1)))&gt;0,COUNTIF('ثبت لیبل'!$B$11:$B$1010,SUBSTITUTE(TRIM(LEFT(C136,FIND("-",C136&amp;"-")-1)),"GD",""))&gt;0),"موجود","")</f>
        <v/>
      </c>
    </row>
    <row r="137" spans="1:16">
      <c r="A137" s="3">
        <v>136</v>
      </c>
      <c r="B137" s="3" t="s">
        <v>15</v>
      </c>
      <c r="C137" s="3" t="s">
        <v>162</v>
      </c>
      <c r="D137" s="3">
        <v>0.96</v>
      </c>
      <c r="E137" s="3">
        <v>750</v>
      </c>
      <c r="F137" s="3">
        <v>11</v>
      </c>
      <c r="G137" s="3">
        <v>17</v>
      </c>
      <c r="H137" s="3">
        <v>0</v>
      </c>
      <c r="I137" s="3">
        <v>0</v>
      </c>
      <c r="J137" s="3">
        <v>0</v>
      </c>
      <c r="K137" s="3">
        <v>0</v>
      </c>
      <c r="L137" s="3" t="s">
        <v>17</v>
      </c>
      <c r="M137" s="3" t="s">
        <v>76</v>
      </c>
      <c r="N137" s="2"/>
      <c r="O137" s="2"/>
      <c r="P137" s="3" t="str">
        <f>IF(OR(COUNTIF('ثبت لیبل'!$B$11:$B$1010,TRIM(LEFT(C137,FIND("-",C137&amp;"-")-1)))&gt;0,COUNTIF('ثبت لیبل'!$B$11:$B$1010,SUBSTITUTE(TRIM(LEFT(C137,FIND("-",C137&amp;"-")-1)),"GD",""))&gt;0),"موجود","")</f>
        <v/>
      </c>
    </row>
    <row r="138" spans="1:16">
      <c r="A138" s="3">
        <v>137</v>
      </c>
      <c r="B138" s="3" t="s">
        <v>15</v>
      </c>
      <c r="C138" s="3" t="s">
        <v>163</v>
      </c>
      <c r="D138" s="3">
        <v>1.03</v>
      </c>
      <c r="E138" s="3">
        <v>750</v>
      </c>
      <c r="F138" s="3">
        <v>11</v>
      </c>
      <c r="G138" s="3">
        <v>17</v>
      </c>
      <c r="H138" s="3">
        <v>0</v>
      </c>
      <c r="I138" s="3">
        <v>0</v>
      </c>
      <c r="J138" s="3">
        <v>0</v>
      </c>
      <c r="K138" s="3">
        <v>0</v>
      </c>
      <c r="L138" s="3" t="s">
        <v>17</v>
      </c>
      <c r="M138" s="3" t="s">
        <v>76</v>
      </c>
      <c r="N138" s="2"/>
      <c r="O138" s="2"/>
      <c r="P138" s="3" t="str">
        <f>IF(OR(COUNTIF('ثبت لیبل'!$B$11:$B$1010,TRIM(LEFT(C138,FIND("-",C138&amp;"-")-1)))&gt;0,COUNTIF('ثبت لیبل'!$B$11:$B$1010,SUBSTITUTE(TRIM(LEFT(C138,FIND("-",C138&amp;"-")-1)),"GD",""))&gt;0),"موجود","")</f>
        <v/>
      </c>
    </row>
    <row r="139" spans="1:16">
      <c r="A139" s="3">
        <v>138</v>
      </c>
      <c r="B139" s="3" t="s">
        <v>15</v>
      </c>
      <c r="C139" s="3" t="s">
        <v>164</v>
      </c>
      <c r="D139" s="3">
        <v>0.99</v>
      </c>
      <c r="E139" s="3">
        <v>750</v>
      </c>
      <c r="F139" s="3">
        <v>11</v>
      </c>
      <c r="G139" s="3">
        <v>17</v>
      </c>
      <c r="H139" s="3">
        <v>0</v>
      </c>
      <c r="I139" s="3">
        <v>0</v>
      </c>
      <c r="J139" s="3">
        <v>0</v>
      </c>
      <c r="K139" s="3">
        <v>0</v>
      </c>
      <c r="L139" s="3" t="s">
        <v>17</v>
      </c>
      <c r="M139" s="3" t="s">
        <v>76</v>
      </c>
      <c r="N139" s="2"/>
      <c r="O139" s="2"/>
      <c r="P139" s="3" t="str">
        <f>IF(OR(COUNTIF('ثبت لیبل'!$B$11:$B$1010,TRIM(LEFT(C139,FIND("-",C139&amp;"-")-1)))&gt;0,COUNTIF('ثبت لیبل'!$B$11:$B$1010,SUBSTITUTE(TRIM(LEFT(C139,FIND("-",C139&amp;"-")-1)),"GD",""))&gt;0),"موجود","")</f>
        <v/>
      </c>
    </row>
    <row r="140" spans="1:16">
      <c r="A140" s="3">
        <v>139</v>
      </c>
      <c r="B140" s="3" t="s">
        <v>15</v>
      </c>
      <c r="C140" s="3" t="s">
        <v>165</v>
      </c>
      <c r="D140" s="3">
        <v>0.82</v>
      </c>
      <c r="E140" s="3">
        <v>750</v>
      </c>
      <c r="F140" s="3">
        <v>11</v>
      </c>
      <c r="G140" s="3">
        <v>17</v>
      </c>
      <c r="H140" s="3">
        <v>0</v>
      </c>
      <c r="I140" s="3">
        <v>0</v>
      </c>
      <c r="J140" s="3">
        <v>0</v>
      </c>
      <c r="K140" s="3">
        <v>0</v>
      </c>
      <c r="L140" s="3" t="s">
        <v>17</v>
      </c>
      <c r="M140" s="3" t="s">
        <v>76</v>
      </c>
      <c r="N140" s="2"/>
      <c r="O140" s="2"/>
      <c r="P140" s="3" t="str">
        <f>IF(OR(COUNTIF('ثبت لیبل'!$B$11:$B$1010,TRIM(LEFT(C140,FIND("-",C140&amp;"-")-1)))&gt;0,COUNTIF('ثبت لیبل'!$B$11:$B$1010,SUBSTITUTE(TRIM(LEFT(C140,FIND("-",C140&amp;"-")-1)),"GD",""))&gt;0),"موجود","")</f>
        <v/>
      </c>
    </row>
    <row r="141" spans="1:16">
      <c r="A141" s="3">
        <v>140</v>
      </c>
      <c r="B141" s="3" t="s">
        <v>15</v>
      </c>
      <c r="C141" s="3" t="s">
        <v>166</v>
      </c>
      <c r="D141" s="3">
        <v>1.62</v>
      </c>
      <c r="E141" s="3">
        <v>750</v>
      </c>
      <c r="F141" s="3">
        <v>11</v>
      </c>
      <c r="G141" s="3">
        <v>17</v>
      </c>
      <c r="H141" s="3">
        <v>0</v>
      </c>
      <c r="I141" s="3">
        <v>0</v>
      </c>
      <c r="J141" s="3">
        <v>0</v>
      </c>
      <c r="K141" s="3">
        <v>0</v>
      </c>
      <c r="L141" s="3" t="s">
        <v>17</v>
      </c>
      <c r="M141" s="3" t="s">
        <v>60</v>
      </c>
      <c r="N141" s="2"/>
      <c r="O141" s="2"/>
      <c r="P141" s="3" t="str">
        <f>IF(OR(COUNTIF('ثبت لیبل'!$B$11:$B$1010,TRIM(LEFT(C141,FIND("-",C141&amp;"-")-1)))&gt;0,COUNTIF('ثبت لیبل'!$B$11:$B$1010,SUBSTITUTE(TRIM(LEFT(C141,FIND("-",C141&amp;"-")-1)),"GD",""))&gt;0),"موجود","")</f>
        <v/>
      </c>
    </row>
    <row r="142" spans="1:16">
      <c r="A142" s="3">
        <v>141</v>
      </c>
      <c r="B142" s="3" t="s">
        <v>15</v>
      </c>
      <c r="C142" s="3" t="s">
        <v>167</v>
      </c>
      <c r="D142" s="3">
        <v>1.71</v>
      </c>
      <c r="E142" s="3">
        <v>750</v>
      </c>
      <c r="F142" s="3">
        <v>11</v>
      </c>
      <c r="G142" s="3">
        <v>17</v>
      </c>
      <c r="H142" s="3">
        <v>0</v>
      </c>
      <c r="I142" s="3">
        <v>0</v>
      </c>
      <c r="J142" s="3">
        <v>0</v>
      </c>
      <c r="K142" s="3">
        <v>0</v>
      </c>
      <c r="L142" s="3" t="s">
        <v>17</v>
      </c>
      <c r="M142" s="3" t="s">
        <v>60</v>
      </c>
      <c r="N142" s="2"/>
      <c r="O142" s="2"/>
      <c r="P142" s="3" t="str">
        <f>IF(OR(COUNTIF('ثبت لیبل'!$B$11:$B$1010,TRIM(LEFT(C142,FIND("-",C142&amp;"-")-1)))&gt;0,COUNTIF('ثبت لیبل'!$B$11:$B$1010,SUBSTITUTE(TRIM(LEFT(C142,FIND("-",C142&amp;"-")-1)),"GD",""))&gt;0),"موجود","")</f>
        <v/>
      </c>
    </row>
    <row r="143" spans="1:16">
      <c r="A143" s="3">
        <v>142</v>
      </c>
      <c r="B143" s="3" t="s">
        <v>15</v>
      </c>
      <c r="C143" s="3" t="s">
        <v>168</v>
      </c>
      <c r="D143" s="3">
        <v>1.03</v>
      </c>
      <c r="E143" s="3">
        <v>750</v>
      </c>
      <c r="F143" s="3">
        <v>12</v>
      </c>
      <c r="G143" s="3">
        <v>18</v>
      </c>
      <c r="H143" s="3">
        <v>0</v>
      </c>
      <c r="I143" s="3">
        <v>0</v>
      </c>
      <c r="J143" s="3">
        <v>0</v>
      </c>
      <c r="K143" s="3">
        <v>0</v>
      </c>
      <c r="L143" s="3" t="s">
        <v>17</v>
      </c>
      <c r="M143" s="3" t="s">
        <v>76</v>
      </c>
      <c r="N143" s="2"/>
      <c r="O143" s="2"/>
      <c r="P143" s="3" t="str">
        <f>IF(OR(COUNTIF('ثبت لیبل'!$B$11:$B$1010,TRIM(LEFT(C143,FIND("-",C143&amp;"-")-1)))&gt;0,COUNTIF('ثبت لیبل'!$B$11:$B$1010,SUBSTITUTE(TRIM(LEFT(C143,FIND("-",C143&amp;"-")-1)),"GD",""))&gt;0),"موجود","")</f>
        <v/>
      </c>
    </row>
    <row r="144" spans="1:16">
      <c r="A144" s="3">
        <v>143</v>
      </c>
      <c r="B144" s="3" t="s">
        <v>15</v>
      </c>
      <c r="C144" s="3" t="s">
        <v>169</v>
      </c>
      <c r="D144" s="3">
        <v>2.96</v>
      </c>
      <c r="E144" s="3">
        <v>750</v>
      </c>
      <c r="F144" s="3">
        <v>13</v>
      </c>
      <c r="G144" s="3">
        <v>19</v>
      </c>
      <c r="H144" s="3">
        <v>0</v>
      </c>
      <c r="I144" s="3">
        <v>0</v>
      </c>
      <c r="J144" s="3">
        <v>0</v>
      </c>
      <c r="K144" s="3">
        <v>0</v>
      </c>
      <c r="L144" s="3" t="s">
        <v>170</v>
      </c>
      <c r="M144" s="3" t="s">
        <v>76</v>
      </c>
      <c r="N144" s="2"/>
      <c r="O144" s="2"/>
      <c r="P144" s="3" t="str">
        <f>IF(OR(COUNTIF('ثبت لیبل'!$B$11:$B$1010,TRIM(LEFT(C144,FIND("-",C144&amp;"-")-1)))&gt;0,COUNTIF('ثبت لیبل'!$B$11:$B$1010,SUBSTITUTE(TRIM(LEFT(C144,FIND("-",C144&amp;"-")-1)),"GD",""))&gt;0),"موجود","")</f>
        <v/>
      </c>
    </row>
    <row r="145" spans="1:16">
      <c r="A145" s="3">
        <v>144</v>
      </c>
      <c r="B145" s="3" t="s">
        <v>15</v>
      </c>
      <c r="C145" s="3" t="s">
        <v>171</v>
      </c>
      <c r="D145" s="3">
        <v>0.13</v>
      </c>
      <c r="E145" s="3">
        <v>750</v>
      </c>
      <c r="F145" s="3">
        <v>6</v>
      </c>
      <c r="G145" s="3">
        <v>12</v>
      </c>
      <c r="H145" s="3">
        <v>0</v>
      </c>
      <c r="I145" s="3">
        <v>0</v>
      </c>
      <c r="J145" s="4">
        <v>7480000</v>
      </c>
      <c r="K145" s="4">
        <v>16456000</v>
      </c>
      <c r="L145" s="3" t="s">
        <v>172</v>
      </c>
      <c r="M145" s="3" t="s">
        <v>46</v>
      </c>
      <c r="N145" s="2"/>
      <c r="O145" s="2"/>
      <c r="P145" s="3" t="str">
        <f>IF(OR(COUNTIF('ثبت لیبل'!$B$11:$B$1010,TRIM(LEFT(C145,FIND("-",C145&amp;"-")-1)))&gt;0,COUNTIF('ثبت لیبل'!$B$11:$B$1010,SUBSTITUTE(TRIM(LEFT(C145,FIND("-",C145&amp;"-")-1)),"GD",""))&gt;0),"موجود","")</f>
        <v/>
      </c>
    </row>
    <row r="146" spans="1:16">
      <c r="A146" s="3">
        <v>145</v>
      </c>
      <c r="B146" s="3" t="s">
        <v>15</v>
      </c>
      <c r="C146" s="3" t="s">
        <v>173</v>
      </c>
      <c r="D146" s="3">
        <v>0.14000000000000001</v>
      </c>
      <c r="E146" s="3">
        <v>750</v>
      </c>
      <c r="F146" s="3">
        <v>6</v>
      </c>
      <c r="G146" s="3">
        <v>12</v>
      </c>
      <c r="H146" s="3">
        <v>0</v>
      </c>
      <c r="I146" s="3">
        <v>0</v>
      </c>
      <c r="J146" s="4">
        <v>7480000</v>
      </c>
      <c r="K146" s="4">
        <v>16456000</v>
      </c>
      <c r="L146" s="3" t="s">
        <v>172</v>
      </c>
      <c r="M146" s="3" t="s">
        <v>46</v>
      </c>
      <c r="N146" s="2"/>
      <c r="O146" s="2"/>
      <c r="P146" s="3" t="str">
        <f>IF(OR(COUNTIF('ثبت لیبل'!$B$11:$B$1010,TRIM(LEFT(C146,FIND("-",C146&amp;"-")-1)))&gt;0,COUNTIF('ثبت لیبل'!$B$11:$B$1010,SUBSTITUTE(TRIM(LEFT(C146,FIND("-",C146&amp;"-")-1)),"GD",""))&gt;0),"موجود","")</f>
        <v/>
      </c>
    </row>
    <row r="147" spans="1:16">
      <c r="A147" s="3">
        <v>146</v>
      </c>
      <c r="B147" s="3" t="s">
        <v>15</v>
      </c>
      <c r="C147" s="3" t="s">
        <v>174</v>
      </c>
      <c r="D147" s="3">
        <v>0.13</v>
      </c>
      <c r="E147" s="3">
        <v>750</v>
      </c>
      <c r="F147" s="3">
        <v>6</v>
      </c>
      <c r="G147" s="3">
        <v>12</v>
      </c>
      <c r="H147" s="3">
        <v>0</v>
      </c>
      <c r="I147" s="3">
        <v>0</v>
      </c>
      <c r="J147" s="4">
        <v>5280000</v>
      </c>
      <c r="K147" s="4">
        <v>11616000</v>
      </c>
      <c r="L147" s="3" t="s">
        <v>20</v>
      </c>
      <c r="M147" s="3" t="s">
        <v>46</v>
      </c>
      <c r="N147" s="2"/>
      <c r="O147" s="2"/>
      <c r="P147" s="3" t="str">
        <f>IF(OR(COUNTIF('ثبت لیبل'!$B$11:$B$1010,TRIM(LEFT(C147,FIND("-",C147&amp;"-")-1)))&gt;0,COUNTIF('ثبت لیبل'!$B$11:$B$1010,SUBSTITUTE(TRIM(LEFT(C147,FIND("-",C147&amp;"-")-1)),"GD",""))&gt;0),"موجود","")</f>
        <v/>
      </c>
    </row>
    <row r="148" spans="1:16">
      <c r="A148" s="3">
        <v>147</v>
      </c>
      <c r="B148" s="3" t="s">
        <v>15</v>
      </c>
      <c r="C148" s="3" t="s">
        <v>175</v>
      </c>
      <c r="D148" s="3">
        <v>0.13</v>
      </c>
      <c r="E148" s="3">
        <v>750</v>
      </c>
      <c r="F148" s="3">
        <v>6</v>
      </c>
      <c r="G148" s="3">
        <v>12</v>
      </c>
      <c r="H148" s="3">
        <v>0</v>
      </c>
      <c r="I148" s="3">
        <v>0</v>
      </c>
      <c r="J148" s="4">
        <v>5280000</v>
      </c>
      <c r="K148" s="4">
        <v>11616000</v>
      </c>
      <c r="L148" s="3" t="s">
        <v>20</v>
      </c>
      <c r="M148" s="3" t="s">
        <v>46</v>
      </c>
      <c r="N148" s="2"/>
      <c r="O148" s="2"/>
      <c r="P148" s="3" t="str">
        <f>IF(OR(COUNTIF('ثبت لیبل'!$B$11:$B$1010,TRIM(LEFT(C148,FIND("-",C148&amp;"-")-1)))&gt;0,COUNTIF('ثبت لیبل'!$B$11:$B$1010,SUBSTITUTE(TRIM(LEFT(C148,FIND("-",C148&amp;"-")-1)),"GD",""))&gt;0),"موجود","")</f>
        <v/>
      </c>
    </row>
    <row r="149" spans="1:16">
      <c r="A149" s="3">
        <v>148</v>
      </c>
      <c r="B149" s="3" t="s">
        <v>15</v>
      </c>
      <c r="C149" s="3" t="s">
        <v>176</v>
      </c>
      <c r="D149" s="3">
        <v>0.13</v>
      </c>
      <c r="E149" s="3">
        <v>750</v>
      </c>
      <c r="F149" s="3">
        <v>6</v>
      </c>
      <c r="G149" s="3">
        <v>12</v>
      </c>
      <c r="H149" s="3">
        <v>0</v>
      </c>
      <c r="I149" s="3">
        <v>0</v>
      </c>
      <c r="J149" s="4">
        <v>5280000</v>
      </c>
      <c r="K149" s="4">
        <v>11616000</v>
      </c>
      <c r="L149" s="3" t="s">
        <v>20</v>
      </c>
      <c r="M149" s="3" t="s">
        <v>46</v>
      </c>
      <c r="N149" s="2"/>
      <c r="O149" s="2"/>
      <c r="P149" s="3" t="str">
        <f>IF(OR(COUNTIF('ثبت لیبل'!$B$11:$B$1010,TRIM(LEFT(C149,FIND("-",C149&amp;"-")-1)))&gt;0,COUNTIF('ثبت لیبل'!$B$11:$B$1010,SUBSTITUTE(TRIM(LEFT(C149,FIND("-",C149&amp;"-")-1)),"GD",""))&gt;0),"موجود","")</f>
        <v/>
      </c>
    </row>
    <row r="150" spans="1:16">
      <c r="A150" s="3">
        <v>149</v>
      </c>
      <c r="B150" s="3" t="s">
        <v>15</v>
      </c>
      <c r="C150" s="3" t="s">
        <v>177</v>
      </c>
      <c r="D150" s="3">
        <v>0.13</v>
      </c>
      <c r="E150" s="3">
        <v>750</v>
      </c>
      <c r="F150" s="3">
        <v>6</v>
      </c>
      <c r="G150" s="3">
        <v>12</v>
      </c>
      <c r="H150" s="3">
        <v>0</v>
      </c>
      <c r="I150" s="3">
        <v>0</v>
      </c>
      <c r="J150" s="4">
        <v>5280000</v>
      </c>
      <c r="K150" s="4">
        <v>11616000</v>
      </c>
      <c r="L150" s="3" t="s">
        <v>20</v>
      </c>
      <c r="M150" s="3" t="s">
        <v>46</v>
      </c>
      <c r="N150" s="2"/>
      <c r="O150" s="2"/>
      <c r="P150" s="3" t="str">
        <f>IF(OR(COUNTIF('ثبت لیبل'!$B$11:$B$1010,TRIM(LEFT(C150,FIND("-",C150&amp;"-")-1)))&gt;0,COUNTIF('ثبت لیبل'!$B$11:$B$1010,SUBSTITUTE(TRIM(LEFT(C150,FIND("-",C150&amp;"-")-1)),"GD",""))&gt;0),"موجود","")</f>
        <v/>
      </c>
    </row>
    <row r="151" spans="1:16">
      <c r="A151" s="3">
        <v>150</v>
      </c>
      <c r="B151" s="3" t="s">
        <v>15</v>
      </c>
      <c r="C151" s="3" t="s">
        <v>178</v>
      </c>
      <c r="D151" s="3">
        <v>0.13</v>
      </c>
      <c r="E151" s="3">
        <v>750</v>
      </c>
      <c r="F151" s="3">
        <v>6</v>
      </c>
      <c r="G151" s="3">
        <v>12</v>
      </c>
      <c r="H151" s="3">
        <v>0</v>
      </c>
      <c r="I151" s="3">
        <v>0</v>
      </c>
      <c r="J151" s="4">
        <v>5280000</v>
      </c>
      <c r="K151" s="4">
        <v>11616000</v>
      </c>
      <c r="L151" s="3" t="s">
        <v>17</v>
      </c>
      <c r="M151" s="3" t="s">
        <v>46</v>
      </c>
      <c r="N151" s="2"/>
      <c r="O151" s="2"/>
      <c r="P151" s="3" t="str">
        <f>IF(OR(COUNTIF('ثبت لیبل'!$B$11:$B$1010,TRIM(LEFT(C151,FIND("-",C151&amp;"-")-1)))&gt;0,COUNTIF('ثبت لیبل'!$B$11:$B$1010,SUBSTITUTE(TRIM(LEFT(C151,FIND("-",C151&amp;"-")-1)),"GD",""))&gt;0),"موجود","")</f>
        <v/>
      </c>
    </row>
    <row r="152" spans="1:16">
      <c r="A152" s="3">
        <v>151</v>
      </c>
      <c r="B152" s="3" t="s">
        <v>15</v>
      </c>
      <c r="C152" s="3" t="s">
        <v>179</v>
      </c>
      <c r="D152" s="3">
        <v>0.13</v>
      </c>
      <c r="E152" s="3">
        <v>750</v>
      </c>
      <c r="F152" s="3">
        <v>6</v>
      </c>
      <c r="G152" s="3">
        <v>12</v>
      </c>
      <c r="H152" s="3">
        <v>0</v>
      </c>
      <c r="I152" s="3">
        <v>0</v>
      </c>
      <c r="J152" s="4">
        <v>5280000</v>
      </c>
      <c r="K152" s="4">
        <v>11616000</v>
      </c>
      <c r="L152" s="3" t="s">
        <v>20</v>
      </c>
      <c r="M152" s="3" t="s">
        <v>46</v>
      </c>
      <c r="N152" s="2"/>
      <c r="O152" s="2"/>
      <c r="P152" s="3" t="str">
        <f>IF(OR(COUNTIF('ثبت لیبل'!$B$11:$B$1010,TRIM(LEFT(C152,FIND("-",C152&amp;"-")-1)))&gt;0,COUNTIF('ثبت لیبل'!$B$11:$B$1010,SUBSTITUTE(TRIM(LEFT(C152,FIND("-",C152&amp;"-")-1)),"GD",""))&gt;0),"موجود","")</f>
        <v/>
      </c>
    </row>
    <row r="153" spans="1:16">
      <c r="A153" s="3">
        <v>152</v>
      </c>
      <c r="B153" s="3" t="s">
        <v>15</v>
      </c>
      <c r="C153" s="3" t="s">
        <v>180</v>
      </c>
      <c r="D153" s="3">
        <v>0.13</v>
      </c>
      <c r="E153" s="3">
        <v>750</v>
      </c>
      <c r="F153" s="3">
        <v>6</v>
      </c>
      <c r="G153" s="3">
        <v>12</v>
      </c>
      <c r="H153" s="3">
        <v>0</v>
      </c>
      <c r="I153" s="3">
        <v>0</v>
      </c>
      <c r="J153" s="4">
        <v>5280000</v>
      </c>
      <c r="K153" s="4">
        <v>11616000</v>
      </c>
      <c r="L153" s="3" t="s">
        <v>20</v>
      </c>
      <c r="M153" s="3" t="s">
        <v>46</v>
      </c>
      <c r="N153" s="2"/>
      <c r="O153" s="2"/>
      <c r="P153" s="3" t="str">
        <f>IF(OR(COUNTIF('ثبت لیبل'!$B$11:$B$1010,TRIM(LEFT(C153,FIND("-",C153&amp;"-")-1)))&gt;0,COUNTIF('ثبت لیبل'!$B$11:$B$1010,SUBSTITUTE(TRIM(LEFT(C153,FIND("-",C153&amp;"-")-1)),"GD",""))&gt;0),"موجود","")</f>
        <v/>
      </c>
    </row>
    <row r="154" spans="1:16">
      <c r="A154" s="3">
        <v>153</v>
      </c>
      <c r="B154" s="3" t="s">
        <v>15</v>
      </c>
      <c r="C154" s="3" t="s">
        <v>181</v>
      </c>
      <c r="D154" s="3">
        <v>0.13</v>
      </c>
      <c r="E154" s="3">
        <v>750</v>
      </c>
      <c r="F154" s="3">
        <v>6</v>
      </c>
      <c r="G154" s="3">
        <v>12</v>
      </c>
      <c r="H154" s="3">
        <v>0</v>
      </c>
      <c r="I154" s="3">
        <v>0</v>
      </c>
      <c r="J154" s="4">
        <v>5280000</v>
      </c>
      <c r="K154" s="4">
        <v>11616000</v>
      </c>
      <c r="L154" s="3" t="s">
        <v>20</v>
      </c>
      <c r="M154" s="3" t="s">
        <v>46</v>
      </c>
      <c r="N154" s="2"/>
      <c r="O154" s="2"/>
      <c r="P154" s="3" t="str">
        <f>IF(OR(COUNTIF('ثبت لیبل'!$B$11:$B$1010,TRIM(LEFT(C154,FIND("-",C154&amp;"-")-1)))&gt;0,COUNTIF('ثبت لیبل'!$B$11:$B$1010,SUBSTITUTE(TRIM(LEFT(C154,FIND("-",C154&amp;"-")-1)),"GD",""))&gt;0),"موجود","")</f>
        <v/>
      </c>
    </row>
    <row r="155" spans="1:16">
      <c r="A155" s="3">
        <v>154</v>
      </c>
      <c r="B155" s="3" t="s">
        <v>15</v>
      </c>
      <c r="C155" s="3" t="s">
        <v>182</v>
      </c>
      <c r="D155" s="3">
        <v>0.13</v>
      </c>
      <c r="E155" s="3">
        <v>750</v>
      </c>
      <c r="F155" s="3">
        <v>6</v>
      </c>
      <c r="G155" s="3">
        <v>12</v>
      </c>
      <c r="H155" s="3">
        <v>0</v>
      </c>
      <c r="I155" s="3">
        <v>0</v>
      </c>
      <c r="J155" s="4">
        <v>7480000</v>
      </c>
      <c r="K155" s="4">
        <v>16456000</v>
      </c>
      <c r="L155" s="3" t="s">
        <v>17</v>
      </c>
      <c r="M155" s="3" t="s">
        <v>46</v>
      </c>
      <c r="N155" s="2"/>
      <c r="O155" s="2"/>
      <c r="P155" s="3" t="str">
        <f>IF(OR(COUNTIF('ثبت لیبل'!$B$11:$B$1010,TRIM(LEFT(C155,FIND("-",C155&amp;"-")-1)))&gt;0,COUNTIF('ثبت لیبل'!$B$11:$B$1010,SUBSTITUTE(TRIM(LEFT(C155,FIND("-",C155&amp;"-")-1)),"GD",""))&gt;0),"موجود","")</f>
        <v/>
      </c>
    </row>
    <row r="156" spans="1:16">
      <c r="A156" s="3">
        <v>155</v>
      </c>
      <c r="B156" s="3" t="s">
        <v>15</v>
      </c>
      <c r="C156" s="3" t="s">
        <v>183</v>
      </c>
      <c r="D156" s="3">
        <v>0.14000000000000001</v>
      </c>
      <c r="E156" s="3">
        <v>750</v>
      </c>
      <c r="F156" s="3">
        <v>6</v>
      </c>
      <c r="G156" s="3">
        <v>12</v>
      </c>
      <c r="H156" s="3">
        <v>0</v>
      </c>
      <c r="I156" s="3">
        <v>0</v>
      </c>
      <c r="J156" s="4">
        <v>7480000</v>
      </c>
      <c r="K156" s="4">
        <v>16456000</v>
      </c>
      <c r="L156" s="3" t="s">
        <v>172</v>
      </c>
      <c r="M156" s="3" t="s">
        <v>46</v>
      </c>
      <c r="N156" s="2"/>
      <c r="O156" s="2"/>
      <c r="P156" s="3" t="str">
        <f>IF(OR(COUNTIF('ثبت لیبل'!$B$11:$B$1010,TRIM(LEFT(C156,FIND("-",C156&amp;"-")-1)))&gt;0,COUNTIF('ثبت لیبل'!$B$11:$B$1010,SUBSTITUTE(TRIM(LEFT(C156,FIND("-",C156&amp;"-")-1)),"GD",""))&gt;0),"موجود","")</f>
        <v/>
      </c>
    </row>
    <row r="157" spans="1:16">
      <c r="A157" s="3">
        <v>156</v>
      </c>
      <c r="B157" s="3" t="s">
        <v>15</v>
      </c>
      <c r="C157" s="3" t="s">
        <v>184</v>
      </c>
      <c r="D157" s="3">
        <v>0.14000000000000001</v>
      </c>
      <c r="E157" s="3">
        <v>750</v>
      </c>
      <c r="F157" s="3">
        <v>6</v>
      </c>
      <c r="G157" s="3">
        <v>12</v>
      </c>
      <c r="H157" s="3">
        <v>0</v>
      </c>
      <c r="I157" s="3">
        <v>0</v>
      </c>
      <c r="J157" s="4">
        <v>7480000</v>
      </c>
      <c r="K157" s="4">
        <v>16456000</v>
      </c>
      <c r="L157" s="3" t="s">
        <v>172</v>
      </c>
      <c r="M157" s="3" t="s">
        <v>46</v>
      </c>
      <c r="N157" s="2"/>
      <c r="O157" s="2"/>
      <c r="P157" s="3" t="str">
        <f>IF(OR(COUNTIF('ثبت لیبل'!$B$11:$B$1010,TRIM(LEFT(C157,FIND("-",C157&amp;"-")-1)))&gt;0,COUNTIF('ثبت لیبل'!$B$11:$B$1010,SUBSTITUTE(TRIM(LEFT(C157,FIND("-",C157&amp;"-")-1)),"GD",""))&gt;0),"موجود","")</f>
        <v/>
      </c>
    </row>
    <row r="158" spans="1:16">
      <c r="A158" s="3">
        <v>157</v>
      </c>
      <c r="B158" s="3" t="s">
        <v>15</v>
      </c>
      <c r="C158" s="3" t="s">
        <v>185</v>
      </c>
      <c r="D158" s="3">
        <v>0.14000000000000001</v>
      </c>
      <c r="E158" s="3">
        <v>750</v>
      </c>
      <c r="F158" s="3">
        <v>6</v>
      </c>
      <c r="G158" s="3">
        <v>12</v>
      </c>
      <c r="H158" s="3">
        <v>0</v>
      </c>
      <c r="I158" s="3">
        <v>0</v>
      </c>
      <c r="J158" s="4">
        <v>7480000</v>
      </c>
      <c r="K158" s="4">
        <v>16456000</v>
      </c>
      <c r="L158" s="3" t="s">
        <v>172</v>
      </c>
      <c r="M158" s="3" t="s">
        <v>46</v>
      </c>
      <c r="N158" s="2"/>
      <c r="O158" s="2"/>
      <c r="P158" s="3" t="str">
        <f>IF(OR(COUNTIF('ثبت لیبل'!$B$11:$B$1010,TRIM(LEFT(C158,FIND("-",C158&amp;"-")-1)))&gt;0,COUNTIF('ثبت لیبل'!$B$11:$B$1010,SUBSTITUTE(TRIM(LEFT(C158,FIND("-",C158&amp;"-")-1)),"GD",""))&gt;0),"موجود","")</f>
        <v/>
      </c>
    </row>
    <row r="159" spans="1:16">
      <c r="A159" s="3">
        <v>158</v>
      </c>
      <c r="B159" s="3" t="s">
        <v>15</v>
      </c>
      <c r="C159" s="3" t="s">
        <v>186</v>
      </c>
      <c r="D159" s="3">
        <v>0.13</v>
      </c>
      <c r="E159" s="3">
        <v>750</v>
      </c>
      <c r="F159" s="3">
        <v>6</v>
      </c>
      <c r="G159" s="3">
        <v>12</v>
      </c>
      <c r="H159" s="3">
        <v>0</v>
      </c>
      <c r="I159" s="3">
        <v>0</v>
      </c>
      <c r="J159" s="4">
        <v>7480000</v>
      </c>
      <c r="K159" s="4">
        <v>16456000</v>
      </c>
      <c r="L159" s="3" t="s">
        <v>172</v>
      </c>
      <c r="M159" s="3" t="s">
        <v>46</v>
      </c>
      <c r="N159" s="2"/>
      <c r="O159" s="2"/>
      <c r="P159" s="3" t="str">
        <f>IF(OR(COUNTIF('ثبت لیبل'!$B$11:$B$1010,TRIM(LEFT(C159,FIND("-",C159&amp;"-")-1)))&gt;0,COUNTIF('ثبت لیبل'!$B$11:$B$1010,SUBSTITUTE(TRIM(LEFT(C159,FIND("-",C159&amp;"-")-1)),"GD",""))&gt;0),"موجود","")</f>
        <v/>
      </c>
    </row>
    <row r="160" spans="1:16">
      <c r="A160" s="3">
        <v>159</v>
      </c>
      <c r="B160" s="3" t="s">
        <v>15</v>
      </c>
      <c r="C160" s="3" t="s">
        <v>187</v>
      </c>
      <c r="D160" s="3">
        <v>0.14000000000000001</v>
      </c>
      <c r="E160" s="3">
        <v>750</v>
      </c>
      <c r="F160" s="3">
        <v>6</v>
      </c>
      <c r="G160" s="3">
        <v>12</v>
      </c>
      <c r="H160" s="3">
        <v>0</v>
      </c>
      <c r="I160" s="3">
        <v>0</v>
      </c>
      <c r="J160" s="4">
        <v>7480000</v>
      </c>
      <c r="K160" s="4">
        <v>16456000</v>
      </c>
      <c r="L160" s="3" t="s">
        <v>172</v>
      </c>
      <c r="M160" s="3" t="s">
        <v>46</v>
      </c>
      <c r="N160" s="2"/>
      <c r="O160" s="2"/>
      <c r="P160" s="3" t="str">
        <f>IF(OR(COUNTIF('ثبت لیبل'!$B$11:$B$1010,TRIM(LEFT(C160,FIND("-",C160&amp;"-")-1)))&gt;0,COUNTIF('ثبت لیبل'!$B$11:$B$1010,SUBSTITUTE(TRIM(LEFT(C160,FIND("-",C160&amp;"-")-1)),"GD",""))&gt;0),"موجود","")</f>
        <v/>
      </c>
    </row>
    <row r="161" spans="1:16">
      <c r="A161" s="3">
        <v>160</v>
      </c>
      <c r="B161" s="3" t="s">
        <v>15</v>
      </c>
      <c r="C161" s="3" t="s">
        <v>188</v>
      </c>
      <c r="D161" s="3">
        <v>0.14000000000000001</v>
      </c>
      <c r="E161" s="3">
        <v>750</v>
      </c>
      <c r="F161" s="3">
        <v>6</v>
      </c>
      <c r="G161" s="3">
        <v>12</v>
      </c>
      <c r="H161" s="3">
        <v>0</v>
      </c>
      <c r="I161" s="3">
        <v>0</v>
      </c>
      <c r="J161" s="4">
        <v>7480000</v>
      </c>
      <c r="K161" s="4">
        <v>16456000</v>
      </c>
      <c r="L161" s="3" t="s">
        <v>17</v>
      </c>
      <c r="M161" s="3" t="s">
        <v>46</v>
      </c>
      <c r="N161" s="2"/>
      <c r="O161" s="2"/>
      <c r="P161" s="3" t="str">
        <f>IF(OR(COUNTIF('ثبت لیبل'!$B$11:$B$1010,TRIM(LEFT(C161,FIND("-",C161&amp;"-")-1)))&gt;0,COUNTIF('ثبت لیبل'!$B$11:$B$1010,SUBSTITUTE(TRIM(LEFT(C161,FIND("-",C161&amp;"-")-1)),"GD",""))&gt;0),"موجود","")</f>
        <v/>
      </c>
    </row>
    <row r="162" spans="1:16">
      <c r="A162" s="3">
        <v>161</v>
      </c>
      <c r="B162" s="3" t="s">
        <v>15</v>
      </c>
      <c r="C162" s="3" t="s">
        <v>189</v>
      </c>
      <c r="D162" s="3">
        <v>0.14000000000000001</v>
      </c>
      <c r="E162" s="3">
        <v>750</v>
      </c>
      <c r="F162" s="3">
        <v>6</v>
      </c>
      <c r="G162" s="3">
        <v>12</v>
      </c>
      <c r="H162" s="3">
        <v>0</v>
      </c>
      <c r="I162" s="3">
        <v>0</v>
      </c>
      <c r="J162" s="4">
        <v>7480000</v>
      </c>
      <c r="K162" s="4">
        <v>16456000</v>
      </c>
      <c r="L162" s="3" t="s">
        <v>17</v>
      </c>
      <c r="M162" s="3" t="s">
        <v>46</v>
      </c>
      <c r="N162" s="2"/>
      <c r="O162" s="2"/>
      <c r="P162" s="3" t="str">
        <f>IF(OR(COUNTIF('ثبت لیبل'!$B$11:$B$1010,TRIM(LEFT(C162,FIND("-",C162&amp;"-")-1)))&gt;0,COUNTIF('ثبت لیبل'!$B$11:$B$1010,SUBSTITUTE(TRIM(LEFT(C162,FIND("-",C162&amp;"-")-1)),"GD",""))&gt;0),"موجود","")</f>
        <v/>
      </c>
    </row>
    <row r="163" spans="1:16">
      <c r="A163" s="3">
        <v>162</v>
      </c>
      <c r="B163" s="3" t="s">
        <v>15</v>
      </c>
      <c r="C163" s="3" t="s">
        <v>190</v>
      </c>
      <c r="D163" s="3">
        <v>0.14000000000000001</v>
      </c>
      <c r="E163" s="3">
        <v>750</v>
      </c>
      <c r="F163" s="3">
        <v>6</v>
      </c>
      <c r="G163" s="3">
        <v>12</v>
      </c>
      <c r="H163" s="3">
        <v>0</v>
      </c>
      <c r="I163" s="3">
        <v>0</v>
      </c>
      <c r="J163" s="4">
        <v>7480000</v>
      </c>
      <c r="K163" s="4">
        <v>16456000</v>
      </c>
      <c r="L163" s="3" t="s">
        <v>17</v>
      </c>
      <c r="M163" s="3" t="s">
        <v>46</v>
      </c>
      <c r="N163" s="2"/>
      <c r="O163" s="2"/>
      <c r="P163" s="3" t="str">
        <f>IF(OR(COUNTIF('ثبت لیبل'!$B$11:$B$1010,TRIM(LEFT(C163,FIND("-",C163&amp;"-")-1)))&gt;0,COUNTIF('ثبت لیبل'!$B$11:$B$1010,SUBSTITUTE(TRIM(LEFT(C163,FIND("-",C163&amp;"-")-1)),"GD",""))&gt;0),"موجود","")</f>
        <v/>
      </c>
    </row>
    <row r="164" spans="1:16">
      <c r="A164" s="3">
        <v>163</v>
      </c>
      <c r="B164" s="3" t="s">
        <v>15</v>
      </c>
      <c r="C164" s="3" t="s">
        <v>191</v>
      </c>
      <c r="D164" s="3">
        <v>0.14000000000000001</v>
      </c>
      <c r="E164" s="3">
        <v>750</v>
      </c>
      <c r="F164" s="3">
        <v>6</v>
      </c>
      <c r="G164" s="3">
        <v>12</v>
      </c>
      <c r="H164" s="3">
        <v>0</v>
      </c>
      <c r="I164" s="3">
        <v>0</v>
      </c>
      <c r="J164" s="4">
        <v>7480000</v>
      </c>
      <c r="K164" s="4">
        <v>16456000</v>
      </c>
      <c r="L164" s="3" t="s">
        <v>17</v>
      </c>
      <c r="M164" s="3" t="s">
        <v>46</v>
      </c>
      <c r="N164" s="2"/>
      <c r="O164" s="2"/>
      <c r="P164" s="3" t="str">
        <f>IF(OR(COUNTIF('ثبت لیبل'!$B$11:$B$1010,TRIM(LEFT(C164,FIND("-",C164&amp;"-")-1)))&gt;0,COUNTIF('ثبت لیبل'!$B$11:$B$1010,SUBSTITUTE(TRIM(LEFT(C164,FIND("-",C164&amp;"-")-1)),"GD",""))&gt;0),"موجود","")</f>
        <v/>
      </c>
    </row>
    <row r="165" spans="1:16">
      <c r="A165" s="3">
        <v>164</v>
      </c>
      <c r="B165" s="3" t="s">
        <v>15</v>
      </c>
      <c r="C165" s="3" t="s">
        <v>192</v>
      </c>
      <c r="D165" s="3">
        <v>0.14000000000000001</v>
      </c>
      <c r="E165" s="3">
        <v>750</v>
      </c>
      <c r="F165" s="3">
        <v>6</v>
      </c>
      <c r="G165" s="3">
        <v>12</v>
      </c>
      <c r="H165" s="3">
        <v>0</v>
      </c>
      <c r="I165" s="3">
        <v>0</v>
      </c>
      <c r="J165" s="4">
        <v>7480000</v>
      </c>
      <c r="K165" s="4">
        <v>16456000</v>
      </c>
      <c r="L165" s="3" t="s">
        <v>17</v>
      </c>
      <c r="M165" s="3" t="s">
        <v>46</v>
      </c>
      <c r="N165" s="2"/>
      <c r="O165" s="2"/>
      <c r="P165" s="3" t="str">
        <f>IF(OR(COUNTIF('ثبت لیبل'!$B$11:$B$1010,TRIM(LEFT(C165,FIND("-",C165&amp;"-")-1)))&gt;0,COUNTIF('ثبت لیبل'!$B$11:$B$1010,SUBSTITUTE(TRIM(LEFT(C165,FIND("-",C165&amp;"-")-1)),"GD",""))&gt;0),"موجود","")</f>
        <v/>
      </c>
    </row>
    <row r="166" spans="1:16">
      <c r="A166" s="3">
        <v>165</v>
      </c>
      <c r="B166" s="3" t="s">
        <v>15</v>
      </c>
      <c r="C166" s="3" t="s">
        <v>193</v>
      </c>
      <c r="D166" s="3">
        <v>0.14000000000000001</v>
      </c>
      <c r="E166" s="3">
        <v>750</v>
      </c>
      <c r="F166" s="3">
        <v>6</v>
      </c>
      <c r="G166" s="3">
        <v>12</v>
      </c>
      <c r="H166" s="3">
        <v>0</v>
      </c>
      <c r="I166" s="3">
        <v>0</v>
      </c>
      <c r="J166" s="4">
        <v>7480000</v>
      </c>
      <c r="K166" s="4">
        <v>16456000</v>
      </c>
      <c r="L166" s="3" t="s">
        <v>17</v>
      </c>
      <c r="M166" s="3" t="s">
        <v>46</v>
      </c>
      <c r="N166" s="2"/>
      <c r="O166" s="2"/>
      <c r="P166" s="3" t="str">
        <f>IF(OR(COUNTIF('ثبت لیبل'!$B$11:$B$1010,TRIM(LEFT(C166,FIND("-",C166&amp;"-")-1)))&gt;0,COUNTIF('ثبت لیبل'!$B$11:$B$1010,SUBSTITUTE(TRIM(LEFT(C166,FIND("-",C166&amp;"-")-1)),"GD",""))&gt;0),"موجود","")</f>
        <v/>
      </c>
    </row>
    <row r="167" spans="1:16">
      <c r="A167" s="3">
        <v>166</v>
      </c>
      <c r="B167" s="3" t="s">
        <v>15</v>
      </c>
      <c r="C167" s="3" t="s">
        <v>194</v>
      </c>
      <c r="D167" s="3">
        <v>0.13</v>
      </c>
      <c r="E167" s="3">
        <v>750</v>
      </c>
      <c r="F167" s="3">
        <v>6</v>
      </c>
      <c r="G167" s="3">
        <v>12</v>
      </c>
      <c r="H167" s="3">
        <v>0</v>
      </c>
      <c r="I167" s="3">
        <v>0</v>
      </c>
      <c r="J167" s="4">
        <v>7480000</v>
      </c>
      <c r="K167" s="4">
        <v>16456000</v>
      </c>
      <c r="L167" s="3" t="s">
        <v>17</v>
      </c>
      <c r="M167" s="3" t="s">
        <v>46</v>
      </c>
      <c r="N167" s="2"/>
      <c r="O167" s="2"/>
      <c r="P167" s="3" t="str">
        <f>IF(OR(COUNTIF('ثبت لیبل'!$B$11:$B$1010,TRIM(LEFT(C167,FIND("-",C167&amp;"-")-1)))&gt;0,COUNTIF('ثبت لیبل'!$B$11:$B$1010,SUBSTITUTE(TRIM(LEFT(C167,FIND("-",C167&amp;"-")-1)),"GD",""))&gt;0),"موجود","")</f>
        <v/>
      </c>
    </row>
    <row r="168" spans="1:16">
      <c r="A168" s="3">
        <v>167</v>
      </c>
      <c r="B168" s="3" t="s">
        <v>15</v>
      </c>
      <c r="C168" s="3" t="s">
        <v>195</v>
      </c>
      <c r="D168" s="3">
        <v>0.18</v>
      </c>
      <c r="E168" s="3">
        <v>750</v>
      </c>
      <c r="F168" s="3">
        <v>6</v>
      </c>
      <c r="G168" s="3">
        <v>12</v>
      </c>
      <c r="H168" s="3">
        <v>0</v>
      </c>
      <c r="I168" s="3">
        <v>0</v>
      </c>
      <c r="J168" s="4">
        <v>7480000</v>
      </c>
      <c r="K168" s="4">
        <v>16456000</v>
      </c>
      <c r="L168" s="3" t="s">
        <v>17</v>
      </c>
      <c r="M168" s="3" t="s">
        <v>46</v>
      </c>
      <c r="N168" s="2"/>
      <c r="O168" s="2"/>
      <c r="P168" s="3" t="str">
        <f>IF(OR(COUNTIF('ثبت لیبل'!$B$11:$B$1010,TRIM(LEFT(C168,FIND("-",C168&amp;"-")-1)))&gt;0,COUNTIF('ثبت لیبل'!$B$11:$B$1010,SUBSTITUTE(TRIM(LEFT(C168,FIND("-",C168&amp;"-")-1)),"GD",""))&gt;0),"موجود","")</f>
        <v/>
      </c>
    </row>
    <row r="169" spans="1:16">
      <c r="A169" s="3">
        <v>168</v>
      </c>
      <c r="B169" s="3" t="s">
        <v>15</v>
      </c>
      <c r="C169" s="3" t="s">
        <v>196</v>
      </c>
      <c r="D169" s="3">
        <v>10.95</v>
      </c>
      <c r="E169" s="3">
        <v>750</v>
      </c>
      <c r="F169" s="3">
        <v>13</v>
      </c>
      <c r="G169" s="3">
        <v>19</v>
      </c>
      <c r="H169" s="3">
        <v>0</v>
      </c>
      <c r="I169" s="3">
        <v>0</v>
      </c>
      <c r="J169" s="3">
        <v>0</v>
      </c>
      <c r="K169" s="3">
        <v>0</v>
      </c>
      <c r="L169" s="3" t="s">
        <v>17</v>
      </c>
      <c r="M169" s="3" t="s">
        <v>46</v>
      </c>
      <c r="N169" s="2"/>
      <c r="O169" s="2"/>
      <c r="P169" s="3" t="str">
        <f>IF(OR(COUNTIF('ثبت لیبل'!$B$11:$B$1010,TRIM(LEFT(C169,FIND("-",C169&amp;"-")-1)))&gt;0,COUNTIF('ثبت لیبل'!$B$11:$B$1010,SUBSTITUTE(TRIM(LEFT(C169,FIND("-",C169&amp;"-")-1)),"GD",""))&gt;0),"موجود","")</f>
        <v/>
      </c>
    </row>
    <row r="170" spans="1:16">
      <c r="A170" s="3">
        <v>169</v>
      </c>
      <c r="B170" s="3" t="s">
        <v>15</v>
      </c>
      <c r="C170" s="3" t="s">
        <v>197</v>
      </c>
      <c r="D170" s="3">
        <v>1.85</v>
      </c>
      <c r="E170" s="3">
        <v>750</v>
      </c>
      <c r="F170" s="3">
        <v>13</v>
      </c>
      <c r="G170" s="3">
        <v>19</v>
      </c>
      <c r="H170" s="3">
        <v>0</v>
      </c>
      <c r="I170" s="3">
        <v>0</v>
      </c>
      <c r="J170" s="3">
        <v>0</v>
      </c>
      <c r="K170" s="3">
        <v>0</v>
      </c>
      <c r="L170" s="3" t="s">
        <v>170</v>
      </c>
      <c r="M170" s="3" t="s">
        <v>76</v>
      </c>
      <c r="N170" s="2"/>
      <c r="O170" s="2"/>
      <c r="P170" s="3" t="str">
        <f>IF(OR(COUNTIF('ثبت لیبل'!$B$11:$B$1010,TRIM(LEFT(C170,FIND("-",C170&amp;"-")-1)))&gt;0,COUNTIF('ثبت لیبل'!$B$11:$B$1010,SUBSTITUTE(TRIM(LEFT(C170,FIND("-",C170&amp;"-")-1)),"GD",""))&gt;0),"موجود","")</f>
        <v/>
      </c>
    </row>
    <row r="171" spans="1:16">
      <c r="A171" s="3">
        <v>170</v>
      </c>
      <c r="B171" s="3" t="s">
        <v>15</v>
      </c>
      <c r="C171" s="3" t="s">
        <v>198</v>
      </c>
      <c r="D171" s="3">
        <v>2.12</v>
      </c>
      <c r="E171" s="3">
        <v>750</v>
      </c>
      <c r="F171" s="3">
        <v>13</v>
      </c>
      <c r="G171" s="3">
        <v>19</v>
      </c>
      <c r="H171" s="3">
        <v>0</v>
      </c>
      <c r="I171" s="3">
        <v>0</v>
      </c>
      <c r="J171" s="3">
        <v>0</v>
      </c>
      <c r="K171" s="3">
        <v>0</v>
      </c>
      <c r="L171" s="3" t="s">
        <v>17</v>
      </c>
      <c r="M171" s="3" t="s">
        <v>76</v>
      </c>
      <c r="N171" s="2"/>
      <c r="O171" s="2"/>
      <c r="P171" s="3" t="str">
        <f>IF(OR(COUNTIF('ثبت لیبل'!$B$11:$B$1010,TRIM(LEFT(C171,FIND("-",C171&amp;"-")-1)))&gt;0,COUNTIF('ثبت لیبل'!$B$11:$B$1010,SUBSTITUTE(TRIM(LEFT(C171,FIND("-",C171&amp;"-")-1)),"GD",""))&gt;0),"موجود","")</f>
        <v/>
      </c>
    </row>
    <row r="172" spans="1:16">
      <c r="A172" s="3">
        <v>171</v>
      </c>
      <c r="B172" s="3" t="s">
        <v>15</v>
      </c>
      <c r="C172" s="3" t="s">
        <v>199</v>
      </c>
      <c r="D172" s="3">
        <v>1.97</v>
      </c>
      <c r="E172" s="3">
        <v>750</v>
      </c>
      <c r="F172" s="3">
        <v>13</v>
      </c>
      <c r="G172" s="3">
        <v>19</v>
      </c>
      <c r="H172" s="3">
        <v>0</v>
      </c>
      <c r="I172" s="3">
        <v>0</v>
      </c>
      <c r="J172" s="3">
        <v>0</v>
      </c>
      <c r="K172" s="3">
        <v>0</v>
      </c>
      <c r="L172" s="3" t="s">
        <v>17</v>
      </c>
      <c r="M172" s="3" t="s">
        <v>18</v>
      </c>
      <c r="N172" s="2"/>
      <c r="O172" s="2"/>
      <c r="P172" s="3" t="str">
        <f>IF(OR(COUNTIF('ثبت لیبل'!$B$11:$B$1010,TRIM(LEFT(C172,FIND("-",C172&amp;"-")-1)))&gt;0,COUNTIF('ثبت لیبل'!$B$11:$B$1010,SUBSTITUTE(TRIM(LEFT(C172,FIND("-",C172&amp;"-")-1)),"GD",""))&gt;0),"موجود","")</f>
        <v/>
      </c>
    </row>
    <row r="173" spans="1:16">
      <c r="A173" s="3">
        <v>172</v>
      </c>
      <c r="B173" s="3" t="s">
        <v>15</v>
      </c>
      <c r="C173" s="3" t="s">
        <v>200</v>
      </c>
      <c r="D173" s="3">
        <v>1.6</v>
      </c>
      <c r="E173" s="3">
        <v>750</v>
      </c>
      <c r="F173" s="3">
        <v>13</v>
      </c>
      <c r="G173" s="3">
        <v>19</v>
      </c>
      <c r="H173" s="3">
        <v>0</v>
      </c>
      <c r="I173" s="3">
        <v>0</v>
      </c>
      <c r="J173" s="3">
        <v>0</v>
      </c>
      <c r="K173" s="3">
        <v>0</v>
      </c>
      <c r="L173" s="3" t="s">
        <v>17</v>
      </c>
      <c r="M173" s="3" t="s">
        <v>18</v>
      </c>
      <c r="N173" s="2"/>
      <c r="O173" s="2"/>
      <c r="P173" s="3" t="str">
        <f>IF(OR(COUNTIF('ثبت لیبل'!$B$11:$B$1010,TRIM(LEFT(C173,FIND("-",C173&amp;"-")-1)))&gt;0,COUNTIF('ثبت لیبل'!$B$11:$B$1010,SUBSTITUTE(TRIM(LEFT(C173,FIND("-",C173&amp;"-")-1)),"GD",""))&gt;0),"موجود","")</f>
        <v/>
      </c>
    </row>
    <row r="174" spans="1:16">
      <c r="A174" s="3">
        <v>173</v>
      </c>
      <c r="B174" s="3" t="s">
        <v>15</v>
      </c>
      <c r="C174" s="3" t="s">
        <v>201</v>
      </c>
      <c r="D174" s="3">
        <v>2.4300000000000002</v>
      </c>
      <c r="E174" s="3">
        <v>750</v>
      </c>
      <c r="F174" s="3">
        <v>17</v>
      </c>
      <c r="G174" s="3">
        <v>23</v>
      </c>
      <c r="H174" s="3">
        <v>0</v>
      </c>
      <c r="I174" s="3">
        <v>0</v>
      </c>
      <c r="J174" s="3">
        <v>0</v>
      </c>
      <c r="K174" s="3">
        <v>0</v>
      </c>
      <c r="L174" s="3" t="s">
        <v>20</v>
      </c>
      <c r="M174" s="3" t="s">
        <v>60</v>
      </c>
      <c r="N174" s="2"/>
      <c r="O174" s="2"/>
      <c r="P174" s="3" t="str">
        <f>IF(OR(COUNTIF('ثبت لیبل'!$B$11:$B$1010,TRIM(LEFT(C174,FIND("-",C174&amp;"-")-1)))&gt;0,COUNTIF('ثبت لیبل'!$B$11:$B$1010,SUBSTITUTE(TRIM(LEFT(C174,FIND("-",C174&amp;"-")-1)),"GD",""))&gt;0),"موجود","")</f>
        <v/>
      </c>
    </row>
    <row r="175" spans="1:16">
      <c r="A175" s="3">
        <v>174</v>
      </c>
      <c r="B175" s="3" t="s">
        <v>15</v>
      </c>
      <c r="C175" s="3" t="s">
        <v>202</v>
      </c>
      <c r="D175" s="3">
        <v>2.68</v>
      </c>
      <c r="E175" s="3">
        <v>750</v>
      </c>
      <c r="F175" s="3">
        <v>17</v>
      </c>
      <c r="G175" s="3">
        <v>23</v>
      </c>
      <c r="H175" s="3">
        <v>0</v>
      </c>
      <c r="I175" s="3">
        <v>0</v>
      </c>
      <c r="J175" s="3">
        <v>0</v>
      </c>
      <c r="K175" s="3">
        <v>0</v>
      </c>
      <c r="L175" s="3" t="s">
        <v>20</v>
      </c>
      <c r="M175" s="3" t="s">
        <v>60</v>
      </c>
      <c r="N175" s="2"/>
      <c r="O175" s="2"/>
      <c r="P175" s="3" t="str">
        <f>IF(OR(COUNTIF('ثبت لیبل'!$B$11:$B$1010,TRIM(LEFT(C175,FIND("-",C175&amp;"-")-1)))&gt;0,COUNTIF('ثبت لیبل'!$B$11:$B$1010,SUBSTITUTE(TRIM(LEFT(C175,FIND("-",C175&amp;"-")-1)),"GD",""))&gt;0),"موجود","")</f>
        <v/>
      </c>
    </row>
    <row r="176" spans="1:16">
      <c r="A176" s="3">
        <v>175</v>
      </c>
      <c r="B176" s="3" t="s">
        <v>15</v>
      </c>
      <c r="C176" s="3" t="s">
        <v>203</v>
      </c>
      <c r="D176" s="3">
        <v>3.24</v>
      </c>
      <c r="E176" s="3">
        <v>750</v>
      </c>
      <c r="F176" s="3">
        <v>17</v>
      </c>
      <c r="G176" s="3">
        <v>23</v>
      </c>
      <c r="H176" s="3">
        <v>0</v>
      </c>
      <c r="I176" s="3">
        <v>0</v>
      </c>
      <c r="J176" s="3">
        <v>0</v>
      </c>
      <c r="K176" s="3">
        <v>0</v>
      </c>
      <c r="L176" s="3" t="s">
        <v>20</v>
      </c>
      <c r="M176" s="3" t="s">
        <v>60</v>
      </c>
      <c r="N176" s="2"/>
      <c r="O176" s="2"/>
      <c r="P176" s="3" t="str">
        <f>IF(OR(COUNTIF('ثبت لیبل'!$B$11:$B$1010,TRIM(LEFT(C176,FIND("-",C176&amp;"-")-1)))&gt;0,COUNTIF('ثبت لیبل'!$B$11:$B$1010,SUBSTITUTE(TRIM(LEFT(C176,FIND("-",C176&amp;"-")-1)),"GD",""))&gt;0),"موجود","")</f>
        <v/>
      </c>
    </row>
    <row r="177" spans="1:16">
      <c r="A177" s="3">
        <v>176</v>
      </c>
      <c r="B177" s="3" t="s">
        <v>15</v>
      </c>
      <c r="C177" s="3" t="s">
        <v>204</v>
      </c>
      <c r="D177" s="3">
        <v>1.65</v>
      </c>
      <c r="E177" s="3">
        <v>750</v>
      </c>
      <c r="F177" s="3">
        <v>11</v>
      </c>
      <c r="G177" s="3">
        <v>17</v>
      </c>
      <c r="H177" s="3">
        <v>0</v>
      </c>
      <c r="I177" s="3">
        <v>0</v>
      </c>
      <c r="J177" s="3">
        <v>0</v>
      </c>
      <c r="K177" s="3">
        <v>0</v>
      </c>
      <c r="L177" s="3" t="s">
        <v>17</v>
      </c>
      <c r="M177" s="3" t="s">
        <v>60</v>
      </c>
      <c r="N177" s="2"/>
      <c r="O177" s="2"/>
      <c r="P177" s="3" t="str">
        <f>IF(OR(COUNTIF('ثبت لیبل'!$B$11:$B$1010,TRIM(LEFT(C177,FIND("-",C177&amp;"-")-1)))&gt;0,COUNTIF('ثبت لیبل'!$B$11:$B$1010,SUBSTITUTE(TRIM(LEFT(C177,FIND("-",C177&amp;"-")-1)),"GD",""))&gt;0),"موجود","")</f>
        <v/>
      </c>
    </row>
    <row r="178" spans="1:16">
      <c r="A178" s="3">
        <v>177</v>
      </c>
      <c r="B178" s="3" t="s">
        <v>15</v>
      </c>
      <c r="C178" s="3" t="s">
        <v>205</v>
      </c>
      <c r="D178" s="3">
        <v>1.38</v>
      </c>
      <c r="E178" s="3">
        <v>750</v>
      </c>
      <c r="F178" s="3">
        <v>11</v>
      </c>
      <c r="G178" s="3">
        <v>17</v>
      </c>
      <c r="H178" s="3">
        <v>0</v>
      </c>
      <c r="I178" s="3">
        <v>0</v>
      </c>
      <c r="J178" s="3">
        <v>0</v>
      </c>
      <c r="K178" s="3">
        <v>0</v>
      </c>
      <c r="L178" s="3" t="s">
        <v>17</v>
      </c>
      <c r="M178" s="3" t="s">
        <v>60</v>
      </c>
      <c r="N178" s="2"/>
      <c r="O178" s="2"/>
      <c r="P178" s="3" t="str">
        <f>IF(OR(COUNTIF('ثبت لیبل'!$B$11:$B$1010,TRIM(LEFT(C178,FIND("-",C178&amp;"-")-1)))&gt;0,COUNTIF('ثبت لیبل'!$B$11:$B$1010,SUBSTITUTE(TRIM(LEFT(C178,FIND("-",C178&amp;"-")-1)),"GD",""))&gt;0),"موجود","")</f>
        <v/>
      </c>
    </row>
    <row r="179" spans="1:16">
      <c r="A179" s="3">
        <v>178</v>
      </c>
      <c r="B179" s="3" t="s">
        <v>15</v>
      </c>
      <c r="C179" s="3" t="s">
        <v>206</v>
      </c>
      <c r="D179" s="3">
        <v>1.64</v>
      </c>
      <c r="E179" s="3">
        <v>750</v>
      </c>
      <c r="F179" s="3">
        <v>11</v>
      </c>
      <c r="G179" s="3">
        <v>17</v>
      </c>
      <c r="H179" s="3">
        <v>0</v>
      </c>
      <c r="I179" s="3">
        <v>0</v>
      </c>
      <c r="J179" s="3">
        <v>0</v>
      </c>
      <c r="K179" s="3">
        <v>0</v>
      </c>
      <c r="L179" s="3" t="s">
        <v>17</v>
      </c>
      <c r="M179" s="3" t="s">
        <v>60</v>
      </c>
      <c r="N179" s="2"/>
      <c r="O179" s="2"/>
      <c r="P179" s="3" t="str">
        <f>IF(OR(COUNTIF('ثبت لیبل'!$B$11:$B$1010,TRIM(LEFT(C179,FIND("-",C179&amp;"-")-1)))&gt;0,COUNTIF('ثبت لیبل'!$B$11:$B$1010,SUBSTITUTE(TRIM(LEFT(C179,FIND("-",C179&amp;"-")-1)),"GD",""))&gt;0),"موجود","")</f>
        <v/>
      </c>
    </row>
    <row r="180" spans="1:16">
      <c r="A180" s="3">
        <v>179</v>
      </c>
      <c r="B180" s="3" t="s">
        <v>15</v>
      </c>
      <c r="C180" s="3" t="s">
        <v>207</v>
      </c>
      <c r="D180" s="3">
        <v>1.25</v>
      </c>
      <c r="E180" s="3">
        <v>750</v>
      </c>
      <c r="F180" s="3">
        <v>11</v>
      </c>
      <c r="G180" s="3">
        <v>17</v>
      </c>
      <c r="H180" s="3">
        <v>0</v>
      </c>
      <c r="I180" s="3">
        <v>0</v>
      </c>
      <c r="J180" s="3">
        <v>0</v>
      </c>
      <c r="K180" s="3">
        <v>0</v>
      </c>
      <c r="L180" s="3" t="s">
        <v>17</v>
      </c>
      <c r="M180" s="3" t="s">
        <v>60</v>
      </c>
      <c r="N180" s="2"/>
      <c r="O180" s="2"/>
      <c r="P180" s="3" t="str">
        <f>IF(OR(COUNTIF('ثبت لیبل'!$B$11:$B$1010,TRIM(LEFT(C180,FIND("-",C180&amp;"-")-1)))&gt;0,COUNTIF('ثبت لیبل'!$B$11:$B$1010,SUBSTITUTE(TRIM(LEFT(C180,FIND("-",C180&amp;"-")-1)),"GD",""))&gt;0),"موجود","")</f>
        <v/>
      </c>
    </row>
    <row r="181" spans="1:16">
      <c r="A181" s="3">
        <v>180</v>
      </c>
      <c r="B181" s="3" t="s">
        <v>15</v>
      </c>
      <c r="C181" s="3" t="s">
        <v>208</v>
      </c>
      <c r="D181" s="3">
        <v>2.4500000000000002</v>
      </c>
      <c r="E181" s="3">
        <v>750</v>
      </c>
      <c r="F181" s="3">
        <v>10</v>
      </c>
      <c r="G181" s="3">
        <v>10</v>
      </c>
      <c r="H181" s="3">
        <v>0</v>
      </c>
      <c r="I181" s="3">
        <v>0</v>
      </c>
      <c r="J181" s="3">
        <v>0</v>
      </c>
      <c r="K181" s="3">
        <v>0</v>
      </c>
      <c r="L181" s="3" t="s">
        <v>17</v>
      </c>
      <c r="M181" s="3" t="s">
        <v>46</v>
      </c>
      <c r="N181" s="2"/>
      <c r="O181" s="2"/>
      <c r="P181" s="3" t="str">
        <f>IF(OR(COUNTIF('ثبت لیبل'!$B$11:$B$1010,TRIM(LEFT(C181,FIND("-",C181&amp;"-")-1)))&gt;0,COUNTIF('ثبت لیبل'!$B$11:$B$1010,SUBSTITUTE(TRIM(LEFT(C181,FIND("-",C181&amp;"-")-1)),"GD",""))&gt;0),"موجود","")</f>
        <v/>
      </c>
    </row>
    <row r="182" spans="1:16">
      <c r="A182" s="3">
        <v>181</v>
      </c>
      <c r="B182" s="3" t="s">
        <v>15</v>
      </c>
      <c r="C182" s="3" t="s">
        <v>209</v>
      </c>
      <c r="D182" s="3">
        <v>5.0599999999999996</v>
      </c>
      <c r="E182" s="3">
        <v>750</v>
      </c>
      <c r="F182" s="3">
        <v>10</v>
      </c>
      <c r="G182" s="3">
        <v>10</v>
      </c>
      <c r="H182" s="3">
        <v>0</v>
      </c>
      <c r="I182" s="3">
        <v>0</v>
      </c>
      <c r="J182" s="3">
        <v>0</v>
      </c>
      <c r="K182" s="3">
        <v>0</v>
      </c>
      <c r="L182" s="3" t="s">
        <v>17</v>
      </c>
      <c r="M182" s="3" t="s">
        <v>18</v>
      </c>
      <c r="N182" s="2"/>
      <c r="O182" s="2"/>
      <c r="P182" s="3" t="str">
        <f>IF(OR(COUNTIF('ثبت لیبل'!$B$11:$B$1010,TRIM(LEFT(C182,FIND("-",C182&amp;"-")-1)))&gt;0,COUNTIF('ثبت لیبل'!$B$11:$B$1010,SUBSTITUTE(TRIM(LEFT(C182,FIND("-",C182&amp;"-")-1)),"GD",""))&gt;0),"موجود","")</f>
        <v/>
      </c>
    </row>
    <row r="183" spans="1:16">
      <c r="A183" s="3">
        <v>182</v>
      </c>
      <c r="B183" s="3" t="s">
        <v>15</v>
      </c>
      <c r="C183" s="3" t="s">
        <v>210</v>
      </c>
      <c r="D183" s="3">
        <v>2.41</v>
      </c>
      <c r="E183" s="3">
        <v>750</v>
      </c>
      <c r="F183" s="3">
        <v>10</v>
      </c>
      <c r="G183" s="3">
        <v>10</v>
      </c>
      <c r="H183" s="3">
        <v>0</v>
      </c>
      <c r="I183" s="3">
        <v>0</v>
      </c>
      <c r="J183" s="3">
        <v>0</v>
      </c>
      <c r="K183" s="3">
        <v>0</v>
      </c>
      <c r="L183" s="3" t="s">
        <v>17</v>
      </c>
      <c r="M183" s="3" t="s">
        <v>46</v>
      </c>
      <c r="N183" s="2"/>
      <c r="O183" s="2"/>
      <c r="P183" s="3" t="str">
        <f>IF(OR(COUNTIF('ثبت لیبل'!$B$11:$B$1010,TRIM(LEFT(C183,FIND("-",C183&amp;"-")-1)))&gt;0,COUNTIF('ثبت لیبل'!$B$11:$B$1010,SUBSTITUTE(TRIM(LEFT(C183,FIND("-",C183&amp;"-")-1)),"GD",""))&gt;0),"موجود","")</f>
        <v/>
      </c>
    </row>
    <row r="184" spans="1:16">
      <c r="A184" s="3">
        <v>183</v>
      </c>
      <c r="B184" s="3" t="s">
        <v>15</v>
      </c>
      <c r="C184" s="3" t="s">
        <v>211</v>
      </c>
      <c r="D184" s="3">
        <v>5.15</v>
      </c>
      <c r="E184" s="3">
        <v>750</v>
      </c>
      <c r="F184" s="3">
        <v>10</v>
      </c>
      <c r="G184" s="3">
        <v>10</v>
      </c>
      <c r="H184" s="3">
        <v>0</v>
      </c>
      <c r="I184" s="3">
        <v>0</v>
      </c>
      <c r="J184" s="3">
        <v>0</v>
      </c>
      <c r="K184" s="3">
        <v>0</v>
      </c>
      <c r="L184" s="3" t="s">
        <v>17</v>
      </c>
      <c r="M184" s="3" t="s">
        <v>18</v>
      </c>
      <c r="N184" s="2"/>
      <c r="O184" s="2"/>
      <c r="P184" s="3" t="str">
        <f>IF(OR(COUNTIF('ثبت لیبل'!$B$11:$B$1010,TRIM(LEFT(C184,FIND("-",C184&amp;"-")-1)))&gt;0,COUNTIF('ثبت لیبل'!$B$11:$B$1010,SUBSTITUTE(TRIM(LEFT(C184,FIND("-",C184&amp;"-")-1)),"GD",""))&gt;0),"موجود","")</f>
        <v/>
      </c>
    </row>
    <row r="185" spans="1:16">
      <c r="A185" s="3">
        <v>184</v>
      </c>
      <c r="B185" s="3" t="s">
        <v>15</v>
      </c>
      <c r="C185" s="3" t="s">
        <v>212</v>
      </c>
      <c r="D185" s="3">
        <v>1.05</v>
      </c>
      <c r="E185" s="3">
        <v>750</v>
      </c>
      <c r="F185" s="3">
        <v>18</v>
      </c>
      <c r="G185" s="3">
        <v>18</v>
      </c>
      <c r="H185" s="3">
        <v>0</v>
      </c>
      <c r="I185" s="3">
        <v>0</v>
      </c>
      <c r="J185" s="3">
        <v>0</v>
      </c>
      <c r="K185" s="3">
        <v>0</v>
      </c>
      <c r="L185" s="3" t="s">
        <v>17</v>
      </c>
      <c r="M185" s="3" t="s">
        <v>43</v>
      </c>
      <c r="N185" s="2"/>
      <c r="O185" s="2"/>
      <c r="P185" s="3" t="str">
        <f>IF(OR(COUNTIF('ثبت لیبل'!$B$11:$B$1010,TRIM(LEFT(C185,FIND("-",C185&amp;"-")-1)))&gt;0,COUNTIF('ثبت لیبل'!$B$11:$B$1010,SUBSTITUTE(TRIM(LEFT(C185,FIND("-",C185&amp;"-")-1)),"GD",""))&gt;0),"موجود","")</f>
        <v/>
      </c>
    </row>
    <row r="186" spans="1:16">
      <c r="A186" s="3">
        <v>185</v>
      </c>
      <c r="B186" s="3" t="s">
        <v>15</v>
      </c>
      <c r="C186" s="3" t="s">
        <v>213</v>
      </c>
      <c r="D186" s="3">
        <v>0.74</v>
      </c>
      <c r="E186" s="3">
        <v>750</v>
      </c>
      <c r="F186" s="3">
        <v>12</v>
      </c>
      <c r="G186" s="3">
        <v>12</v>
      </c>
      <c r="H186" s="3">
        <v>0</v>
      </c>
      <c r="I186" s="3">
        <v>0</v>
      </c>
      <c r="J186" s="3">
        <v>0</v>
      </c>
      <c r="K186" s="3">
        <v>0</v>
      </c>
      <c r="L186" s="3" t="s">
        <v>17</v>
      </c>
      <c r="M186" s="3" t="s">
        <v>43</v>
      </c>
      <c r="N186" s="2"/>
      <c r="O186" s="2"/>
      <c r="P186" s="3" t="str">
        <f>IF(OR(COUNTIF('ثبت لیبل'!$B$11:$B$1010,TRIM(LEFT(C186,FIND("-",C186&amp;"-")-1)))&gt;0,COUNTIF('ثبت لیبل'!$B$11:$B$1010,SUBSTITUTE(TRIM(LEFT(C186,FIND("-",C186&amp;"-")-1)),"GD",""))&gt;0),"موجود","")</f>
        <v/>
      </c>
    </row>
    <row r="187" spans="1:16">
      <c r="A187" s="3">
        <v>186</v>
      </c>
      <c r="B187" s="3" t="s">
        <v>15</v>
      </c>
      <c r="C187" s="3" t="s">
        <v>214</v>
      </c>
      <c r="D187" s="3">
        <v>0.74</v>
      </c>
      <c r="E187" s="3">
        <v>750</v>
      </c>
      <c r="F187" s="3">
        <v>12</v>
      </c>
      <c r="G187" s="3">
        <v>12</v>
      </c>
      <c r="H187" s="3">
        <v>0</v>
      </c>
      <c r="I187" s="3">
        <v>0</v>
      </c>
      <c r="J187" s="3">
        <v>0</v>
      </c>
      <c r="K187" s="3">
        <v>0</v>
      </c>
      <c r="L187" s="3" t="s">
        <v>17</v>
      </c>
      <c r="M187" s="3" t="s">
        <v>43</v>
      </c>
      <c r="N187" s="2"/>
      <c r="O187" s="2"/>
      <c r="P187" s="3" t="str">
        <f>IF(OR(COUNTIF('ثبت لیبل'!$B$11:$B$1010,TRIM(LEFT(C187,FIND("-",C187&amp;"-")-1)))&gt;0,COUNTIF('ثبت لیبل'!$B$11:$B$1010,SUBSTITUTE(TRIM(LEFT(C187,FIND("-",C187&amp;"-")-1)),"GD",""))&gt;0),"موجود","")</f>
        <v/>
      </c>
    </row>
    <row r="188" spans="1:16">
      <c r="A188" s="3">
        <v>187</v>
      </c>
      <c r="B188" s="3" t="s">
        <v>15</v>
      </c>
      <c r="C188" s="3" t="s">
        <v>215</v>
      </c>
      <c r="D188" s="3">
        <v>2.19</v>
      </c>
      <c r="E188" s="3">
        <v>750</v>
      </c>
      <c r="F188" s="3">
        <v>11</v>
      </c>
      <c r="G188" s="3">
        <v>11</v>
      </c>
      <c r="H188" s="3">
        <v>0</v>
      </c>
      <c r="I188" s="3">
        <v>0</v>
      </c>
      <c r="J188" s="3">
        <v>0</v>
      </c>
      <c r="K188" s="3">
        <v>0</v>
      </c>
      <c r="L188" s="3" t="s">
        <v>17</v>
      </c>
      <c r="M188" s="3" t="s">
        <v>216</v>
      </c>
      <c r="N188" s="2"/>
      <c r="O188" s="2"/>
      <c r="P188" s="3" t="str">
        <f>IF(OR(COUNTIF('ثبت لیبل'!$B$11:$B$1010,TRIM(LEFT(C188,FIND("-",C188&amp;"-")-1)))&gt;0,COUNTIF('ثبت لیبل'!$B$11:$B$1010,SUBSTITUTE(TRIM(LEFT(C188,FIND("-",C188&amp;"-")-1)),"GD",""))&gt;0),"موجود","")</f>
        <v/>
      </c>
    </row>
    <row r="189" spans="1:16">
      <c r="A189" s="3">
        <v>188</v>
      </c>
      <c r="B189" s="3" t="s">
        <v>15</v>
      </c>
      <c r="C189" s="3" t="s">
        <v>217</v>
      </c>
      <c r="D189" s="3">
        <v>2.02</v>
      </c>
      <c r="E189" s="3">
        <v>750</v>
      </c>
      <c r="F189" s="3">
        <v>11</v>
      </c>
      <c r="G189" s="3">
        <v>11</v>
      </c>
      <c r="H189" s="3">
        <v>0</v>
      </c>
      <c r="I189" s="3">
        <v>0</v>
      </c>
      <c r="J189" s="3">
        <v>0</v>
      </c>
      <c r="K189" s="3">
        <v>0</v>
      </c>
      <c r="L189" s="3" t="s">
        <v>17</v>
      </c>
      <c r="M189" s="3" t="s">
        <v>216</v>
      </c>
      <c r="N189" s="2"/>
      <c r="O189" s="2"/>
      <c r="P189" s="3" t="str">
        <f>IF(OR(COUNTIF('ثبت لیبل'!$B$11:$B$1010,TRIM(LEFT(C189,FIND("-",C189&amp;"-")-1)))&gt;0,COUNTIF('ثبت لیبل'!$B$11:$B$1010,SUBSTITUTE(TRIM(LEFT(C189,FIND("-",C189&amp;"-")-1)),"GD",""))&gt;0),"موجود","")</f>
        <v/>
      </c>
    </row>
    <row r="190" spans="1:16">
      <c r="A190" s="3">
        <v>189</v>
      </c>
      <c r="B190" s="3" t="s">
        <v>15</v>
      </c>
      <c r="C190" s="3" t="s">
        <v>218</v>
      </c>
      <c r="D190" s="3">
        <v>1.95</v>
      </c>
      <c r="E190" s="3">
        <v>750</v>
      </c>
      <c r="F190" s="3">
        <v>11</v>
      </c>
      <c r="G190" s="3">
        <v>11</v>
      </c>
      <c r="H190" s="3">
        <v>0</v>
      </c>
      <c r="I190" s="3">
        <v>0</v>
      </c>
      <c r="J190" s="3">
        <v>0</v>
      </c>
      <c r="K190" s="3">
        <v>0</v>
      </c>
      <c r="L190" s="3" t="s">
        <v>17</v>
      </c>
      <c r="M190" s="3" t="s">
        <v>216</v>
      </c>
      <c r="N190" s="2"/>
      <c r="O190" s="2"/>
      <c r="P190" s="3" t="str">
        <f>IF(OR(COUNTIF('ثبت لیبل'!$B$11:$B$1010,TRIM(LEFT(C190,FIND("-",C190&amp;"-")-1)))&gt;0,COUNTIF('ثبت لیبل'!$B$11:$B$1010,SUBSTITUTE(TRIM(LEFT(C190,FIND("-",C190&amp;"-")-1)),"GD",""))&gt;0),"موجود","")</f>
        <v/>
      </c>
    </row>
    <row r="191" spans="1:16">
      <c r="A191" s="3">
        <v>190</v>
      </c>
      <c r="B191" s="3" t="s">
        <v>15</v>
      </c>
      <c r="C191" s="3" t="s">
        <v>219</v>
      </c>
      <c r="D191" s="3">
        <v>1.86</v>
      </c>
      <c r="E191" s="3">
        <v>750</v>
      </c>
      <c r="F191" s="3">
        <v>11</v>
      </c>
      <c r="G191" s="3">
        <v>11</v>
      </c>
      <c r="H191" s="3">
        <v>0</v>
      </c>
      <c r="I191" s="3">
        <v>0</v>
      </c>
      <c r="J191" s="3">
        <v>0</v>
      </c>
      <c r="K191" s="3">
        <v>0</v>
      </c>
      <c r="L191" s="3" t="s">
        <v>17</v>
      </c>
      <c r="M191" s="3" t="s">
        <v>216</v>
      </c>
      <c r="N191" s="2"/>
      <c r="O191" s="2"/>
      <c r="P191" s="3" t="str">
        <f>IF(OR(COUNTIF('ثبت لیبل'!$B$11:$B$1010,TRIM(LEFT(C191,FIND("-",C191&amp;"-")-1)))&gt;0,COUNTIF('ثبت لیبل'!$B$11:$B$1010,SUBSTITUTE(TRIM(LEFT(C191,FIND("-",C191&amp;"-")-1)),"GD",""))&gt;0),"موجود","")</f>
        <v/>
      </c>
    </row>
    <row r="192" spans="1:16">
      <c r="A192" s="3">
        <v>191</v>
      </c>
      <c r="B192" s="3" t="s">
        <v>15</v>
      </c>
      <c r="C192" s="3" t="s">
        <v>220</v>
      </c>
      <c r="D192" s="3">
        <v>2.68</v>
      </c>
      <c r="E192" s="3">
        <v>750</v>
      </c>
      <c r="F192" s="3">
        <v>13</v>
      </c>
      <c r="G192" s="2"/>
      <c r="H192" s="3">
        <v>0</v>
      </c>
      <c r="I192" s="2"/>
      <c r="J192" s="3">
        <v>0</v>
      </c>
      <c r="K192" s="2"/>
      <c r="L192" s="3" t="s">
        <v>17</v>
      </c>
      <c r="M192" s="3" t="s">
        <v>70</v>
      </c>
      <c r="N192" s="2"/>
      <c r="O192" s="2"/>
      <c r="P192" s="3" t="str">
        <f>IF(OR(COUNTIF('ثبت لیبل'!$B$11:$B$1010,TRIM(LEFT(C192,FIND("-",C192&amp;"-")-1)))&gt;0,COUNTIF('ثبت لیبل'!$B$11:$B$1010,SUBSTITUTE(TRIM(LEFT(C192,FIND("-",C192&amp;"-")-1)),"GD",""))&gt;0),"موجود","")</f>
        <v/>
      </c>
    </row>
    <row r="193" spans="1:16">
      <c r="A193" s="3">
        <v>192</v>
      </c>
      <c r="B193" s="3" t="s">
        <v>15</v>
      </c>
      <c r="C193" s="3" t="s">
        <v>221</v>
      </c>
      <c r="D193" s="3">
        <v>0.8</v>
      </c>
      <c r="E193" s="3">
        <v>750</v>
      </c>
      <c r="F193" s="3">
        <v>12</v>
      </c>
      <c r="G193" s="3">
        <v>12</v>
      </c>
      <c r="H193" s="3">
        <v>0</v>
      </c>
      <c r="I193" s="3">
        <v>0</v>
      </c>
      <c r="J193" s="3">
        <v>0</v>
      </c>
      <c r="K193" s="3">
        <v>0</v>
      </c>
      <c r="L193" s="3" t="s">
        <v>17</v>
      </c>
      <c r="M193" s="3" t="s">
        <v>60</v>
      </c>
      <c r="N193" s="2"/>
      <c r="O193" s="2"/>
      <c r="P193" s="3" t="str">
        <f>IF(OR(COUNTIF('ثبت لیبل'!$B$11:$B$1010,TRIM(LEFT(C193,FIND("-",C193&amp;"-")-1)))&gt;0,COUNTIF('ثبت لیبل'!$B$11:$B$1010,SUBSTITUTE(TRIM(LEFT(C193,FIND("-",C193&amp;"-")-1)),"GD",""))&gt;0),"موجود","")</f>
        <v/>
      </c>
    </row>
    <row r="194" spans="1:16">
      <c r="A194" s="3">
        <v>193</v>
      </c>
      <c r="B194" s="3" t="s">
        <v>15</v>
      </c>
      <c r="C194" s="3" t="s">
        <v>222</v>
      </c>
      <c r="D194" s="3">
        <v>0.75</v>
      </c>
      <c r="E194" s="3">
        <v>750</v>
      </c>
      <c r="F194" s="3">
        <v>12</v>
      </c>
      <c r="G194" s="3">
        <v>12</v>
      </c>
      <c r="H194" s="3">
        <v>0</v>
      </c>
      <c r="I194" s="3">
        <v>0</v>
      </c>
      <c r="J194" s="3">
        <v>0</v>
      </c>
      <c r="K194" s="3">
        <v>0</v>
      </c>
      <c r="L194" s="3" t="s">
        <v>17</v>
      </c>
      <c r="M194" s="3" t="s">
        <v>60</v>
      </c>
      <c r="N194" s="2"/>
      <c r="O194" s="2"/>
      <c r="P194" s="3" t="str">
        <f>IF(OR(COUNTIF('ثبت لیبل'!$B$11:$B$1010,TRIM(LEFT(C194,FIND("-",C194&amp;"-")-1)))&gt;0,COUNTIF('ثبت لیبل'!$B$11:$B$1010,SUBSTITUTE(TRIM(LEFT(C194,FIND("-",C194&amp;"-")-1)),"GD",""))&gt;0),"موجود","")</f>
        <v/>
      </c>
    </row>
    <row r="195" spans="1:16">
      <c r="A195" s="3">
        <v>194</v>
      </c>
      <c r="B195" s="3" t="s">
        <v>15</v>
      </c>
      <c r="C195" s="3" t="s">
        <v>223</v>
      </c>
      <c r="D195" s="3">
        <v>0.73</v>
      </c>
      <c r="E195" s="3">
        <v>750</v>
      </c>
      <c r="F195" s="3">
        <v>12</v>
      </c>
      <c r="G195" s="3">
        <v>12</v>
      </c>
      <c r="H195" s="3">
        <v>0</v>
      </c>
      <c r="I195" s="3">
        <v>0</v>
      </c>
      <c r="J195" s="3">
        <v>0</v>
      </c>
      <c r="K195" s="3">
        <v>0</v>
      </c>
      <c r="L195" s="3" t="s">
        <v>17</v>
      </c>
      <c r="M195" s="3" t="s">
        <v>60</v>
      </c>
      <c r="N195" s="2"/>
      <c r="O195" s="2"/>
      <c r="P195" s="3" t="str">
        <f>IF(OR(COUNTIF('ثبت لیبل'!$B$11:$B$1010,TRIM(LEFT(C195,FIND("-",C195&amp;"-")-1)))&gt;0,COUNTIF('ثبت لیبل'!$B$11:$B$1010,SUBSTITUTE(TRIM(LEFT(C195,FIND("-",C195&amp;"-")-1)),"GD",""))&gt;0),"موجود","")</f>
        <v/>
      </c>
    </row>
    <row r="196" spans="1:16">
      <c r="A196" s="3">
        <v>195</v>
      </c>
      <c r="B196" s="3" t="s">
        <v>15</v>
      </c>
      <c r="C196" s="3" t="s">
        <v>224</v>
      </c>
      <c r="D196" s="3">
        <v>0.74</v>
      </c>
      <c r="E196" s="3">
        <v>750</v>
      </c>
      <c r="F196" s="3">
        <v>12</v>
      </c>
      <c r="G196" s="3">
        <v>12</v>
      </c>
      <c r="H196" s="3">
        <v>0</v>
      </c>
      <c r="I196" s="3">
        <v>0</v>
      </c>
      <c r="J196" s="3">
        <v>0</v>
      </c>
      <c r="K196" s="3">
        <v>0</v>
      </c>
      <c r="L196" s="3" t="s">
        <v>17</v>
      </c>
      <c r="M196" s="3" t="s">
        <v>60</v>
      </c>
      <c r="N196" s="2"/>
      <c r="O196" s="2"/>
      <c r="P196" s="3" t="str">
        <f>IF(OR(COUNTIF('ثبت لیبل'!$B$11:$B$1010,TRIM(LEFT(C196,FIND("-",C196&amp;"-")-1)))&gt;0,COUNTIF('ثبت لیبل'!$B$11:$B$1010,SUBSTITUTE(TRIM(LEFT(C196,FIND("-",C196&amp;"-")-1)),"GD",""))&gt;0),"موجود","")</f>
        <v/>
      </c>
    </row>
    <row r="197" spans="1:16">
      <c r="A197" s="3">
        <v>196</v>
      </c>
      <c r="B197" s="3" t="s">
        <v>15</v>
      </c>
      <c r="C197" s="3" t="s">
        <v>225</v>
      </c>
      <c r="D197" s="3">
        <v>0.86</v>
      </c>
      <c r="E197" s="3">
        <v>750</v>
      </c>
      <c r="F197" s="3">
        <v>12</v>
      </c>
      <c r="G197" s="3">
        <v>12</v>
      </c>
      <c r="H197" s="3">
        <v>0</v>
      </c>
      <c r="I197" s="3">
        <v>0</v>
      </c>
      <c r="J197" s="3">
        <v>0</v>
      </c>
      <c r="K197" s="3">
        <v>0</v>
      </c>
      <c r="L197" s="3" t="s">
        <v>17</v>
      </c>
      <c r="M197" s="3" t="s">
        <v>60</v>
      </c>
      <c r="N197" s="2"/>
      <c r="O197" s="2"/>
      <c r="P197" s="3" t="str">
        <f>IF(OR(COUNTIF('ثبت لیبل'!$B$11:$B$1010,TRIM(LEFT(C197,FIND("-",C197&amp;"-")-1)))&gt;0,COUNTIF('ثبت لیبل'!$B$11:$B$1010,SUBSTITUTE(TRIM(LEFT(C197,FIND("-",C197&amp;"-")-1)),"GD",""))&gt;0),"موجود","")</f>
        <v/>
      </c>
    </row>
    <row r="198" spans="1:16">
      <c r="A198" s="3">
        <v>197</v>
      </c>
      <c r="B198" s="3" t="s">
        <v>15</v>
      </c>
      <c r="C198" s="3" t="s">
        <v>226</v>
      </c>
      <c r="D198" s="3">
        <v>0.84</v>
      </c>
      <c r="E198" s="3">
        <v>750</v>
      </c>
      <c r="F198" s="3">
        <v>12</v>
      </c>
      <c r="G198" s="3">
        <v>12</v>
      </c>
      <c r="H198" s="3">
        <v>0</v>
      </c>
      <c r="I198" s="3">
        <v>0</v>
      </c>
      <c r="J198" s="3">
        <v>0</v>
      </c>
      <c r="K198" s="3">
        <v>0</v>
      </c>
      <c r="L198" s="3" t="s">
        <v>17</v>
      </c>
      <c r="M198" s="3" t="s">
        <v>60</v>
      </c>
      <c r="N198" s="2"/>
      <c r="O198" s="2"/>
      <c r="P198" s="3" t="str">
        <f>IF(OR(COUNTIF('ثبت لیبل'!$B$11:$B$1010,TRIM(LEFT(C198,FIND("-",C198&amp;"-")-1)))&gt;0,COUNTIF('ثبت لیبل'!$B$11:$B$1010,SUBSTITUTE(TRIM(LEFT(C198,FIND("-",C198&amp;"-")-1)),"GD",""))&gt;0),"موجود","")</f>
        <v/>
      </c>
    </row>
    <row r="199" spans="1:16">
      <c r="A199" s="3">
        <v>198</v>
      </c>
      <c r="B199" s="3" t="s">
        <v>15</v>
      </c>
      <c r="C199" s="3" t="s">
        <v>227</v>
      </c>
      <c r="D199" s="3">
        <v>1.33</v>
      </c>
      <c r="E199" s="3">
        <v>750</v>
      </c>
      <c r="F199" s="3">
        <v>11</v>
      </c>
      <c r="G199" s="2"/>
      <c r="H199" s="3">
        <v>0</v>
      </c>
      <c r="I199" s="2"/>
      <c r="J199" s="3">
        <v>0</v>
      </c>
      <c r="K199" s="2"/>
      <c r="L199" s="3" t="s">
        <v>17</v>
      </c>
      <c r="M199" s="3" t="s">
        <v>60</v>
      </c>
      <c r="N199" s="2"/>
      <c r="O199" s="2"/>
      <c r="P199" s="3" t="str">
        <f>IF(OR(COUNTIF('ثبت لیبل'!$B$11:$B$1010,TRIM(LEFT(C199,FIND("-",C199&amp;"-")-1)))&gt;0,COUNTIF('ثبت لیبل'!$B$11:$B$1010,SUBSTITUTE(TRIM(LEFT(C199,FIND("-",C199&amp;"-")-1)),"GD",""))&gt;0),"موجود","")</f>
        <v/>
      </c>
    </row>
    <row r="200" spans="1:16">
      <c r="A200" s="3">
        <v>199</v>
      </c>
      <c r="B200" s="3" t="s">
        <v>15</v>
      </c>
      <c r="C200" s="3" t="s">
        <v>228</v>
      </c>
      <c r="D200" s="3">
        <v>1.1299999999999999</v>
      </c>
      <c r="E200" s="3">
        <v>750</v>
      </c>
      <c r="F200" s="3">
        <v>11</v>
      </c>
      <c r="G200" s="3">
        <v>11</v>
      </c>
      <c r="H200" s="3">
        <v>0</v>
      </c>
      <c r="I200" s="3">
        <v>0</v>
      </c>
      <c r="J200" s="3">
        <v>0</v>
      </c>
      <c r="K200" s="3">
        <v>0</v>
      </c>
      <c r="L200" s="3" t="s">
        <v>17</v>
      </c>
      <c r="M200" s="3" t="s">
        <v>60</v>
      </c>
      <c r="N200" s="2"/>
      <c r="O200" s="2"/>
      <c r="P200" s="3" t="str">
        <f>IF(OR(COUNTIF('ثبت لیبل'!$B$11:$B$1010,TRIM(LEFT(C200,FIND("-",C200&amp;"-")-1)))&gt;0,COUNTIF('ثبت لیبل'!$B$11:$B$1010,SUBSTITUTE(TRIM(LEFT(C200,FIND("-",C200&amp;"-")-1)),"GD",""))&gt;0),"موجود","")</f>
        <v/>
      </c>
    </row>
    <row r="201" spans="1:16">
      <c r="A201" s="3">
        <v>200</v>
      </c>
      <c r="B201" s="3" t="s">
        <v>15</v>
      </c>
      <c r="C201" s="3" t="s">
        <v>229</v>
      </c>
      <c r="D201" s="3">
        <v>1.0900000000000001</v>
      </c>
      <c r="E201" s="3">
        <v>750</v>
      </c>
      <c r="F201" s="3">
        <v>11</v>
      </c>
      <c r="G201" s="3">
        <v>11</v>
      </c>
      <c r="H201" s="3">
        <v>0</v>
      </c>
      <c r="I201" s="3">
        <v>0</v>
      </c>
      <c r="J201" s="3">
        <v>0</v>
      </c>
      <c r="K201" s="3">
        <v>0</v>
      </c>
      <c r="L201" s="3" t="s">
        <v>17</v>
      </c>
      <c r="M201" s="3" t="s">
        <v>60</v>
      </c>
      <c r="N201" s="2"/>
      <c r="O201" s="2"/>
      <c r="P201" s="3" t="str">
        <f>IF(OR(COUNTIF('ثبت لیبل'!$B$11:$B$1010,TRIM(LEFT(C201,FIND("-",C201&amp;"-")-1)))&gt;0,COUNTIF('ثبت لیبل'!$B$11:$B$1010,SUBSTITUTE(TRIM(LEFT(C201,FIND("-",C201&amp;"-")-1)),"GD",""))&gt;0),"موجود","")</f>
        <v/>
      </c>
    </row>
    <row r="202" spans="1:16">
      <c r="A202" s="3">
        <v>201</v>
      </c>
      <c r="B202" s="3" t="s">
        <v>15</v>
      </c>
      <c r="C202" s="3" t="s">
        <v>230</v>
      </c>
      <c r="D202" s="3">
        <v>0.91</v>
      </c>
      <c r="E202" s="3">
        <v>750</v>
      </c>
      <c r="F202" s="3">
        <v>10</v>
      </c>
      <c r="G202" s="3">
        <v>10</v>
      </c>
      <c r="H202" s="3">
        <v>0</v>
      </c>
      <c r="I202" s="3">
        <v>0</v>
      </c>
      <c r="J202" s="3">
        <v>0</v>
      </c>
      <c r="K202" s="3">
        <v>0</v>
      </c>
      <c r="L202" s="3" t="s">
        <v>17</v>
      </c>
      <c r="M202" s="3" t="s">
        <v>60</v>
      </c>
      <c r="N202" s="2"/>
      <c r="O202" s="2"/>
      <c r="P202" s="3" t="str">
        <f>IF(OR(COUNTIF('ثبت لیبل'!$B$11:$B$1010,TRIM(LEFT(C202,FIND("-",C202&amp;"-")-1)))&gt;0,COUNTIF('ثبت لیبل'!$B$11:$B$1010,SUBSTITUTE(TRIM(LEFT(C202,FIND("-",C202&amp;"-")-1)),"GD",""))&gt;0),"موجود","")</f>
        <v/>
      </c>
    </row>
    <row r="203" spans="1:16">
      <c r="A203" s="3">
        <v>202</v>
      </c>
      <c r="B203" s="3" t="s">
        <v>15</v>
      </c>
      <c r="C203" s="3" t="s">
        <v>231</v>
      </c>
      <c r="D203" s="3">
        <v>1.0900000000000001</v>
      </c>
      <c r="E203" s="3">
        <v>750</v>
      </c>
      <c r="F203" s="3">
        <v>11</v>
      </c>
      <c r="G203" s="3">
        <v>11</v>
      </c>
      <c r="H203" s="3">
        <v>0</v>
      </c>
      <c r="I203" s="3">
        <v>0</v>
      </c>
      <c r="J203" s="3">
        <v>0</v>
      </c>
      <c r="K203" s="3">
        <v>0</v>
      </c>
      <c r="L203" s="3" t="s">
        <v>17</v>
      </c>
      <c r="M203" s="3" t="s">
        <v>60</v>
      </c>
      <c r="N203" s="2"/>
      <c r="O203" s="2"/>
      <c r="P203" s="3" t="str">
        <f>IF(OR(COUNTIF('ثبت لیبل'!$B$11:$B$1010,TRIM(LEFT(C203,FIND("-",C203&amp;"-")-1)))&gt;0,COUNTIF('ثبت لیبل'!$B$11:$B$1010,SUBSTITUTE(TRIM(LEFT(C203,FIND("-",C203&amp;"-")-1)),"GD",""))&gt;0),"موجود","")</f>
        <v/>
      </c>
    </row>
    <row r="204" spans="1:16">
      <c r="A204" s="3">
        <v>203</v>
      </c>
      <c r="B204" s="3" t="s">
        <v>232</v>
      </c>
      <c r="C204" s="3" t="s">
        <v>233</v>
      </c>
      <c r="D204" s="3">
        <v>0.04</v>
      </c>
      <c r="E204" s="3">
        <v>750</v>
      </c>
      <c r="F204" s="3">
        <v>0</v>
      </c>
      <c r="G204" s="3">
        <v>0</v>
      </c>
      <c r="H204" s="3">
        <v>0</v>
      </c>
      <c r="I204" s="3">
        <v>0</v>
      </c>
      <c r="J204" s="4">
        <v>550000</v>
      </c>
      <c r="K204" s="4">
        <v>550000</v>
      </c>
      <c r="L204" s="3" t="s">
        <v>17</v>
      </c>
      <c r="M204" s="3" t="s">
        <v>234</v>
      </c>
      <c r="N204" s="2"/>
      <c r="O204" s="2"/>
      <c r="P204" s="3" t="str">
        <f>IF(OR(COUNTIF('ثبت لیبل'!$B$11:$B$1010,TRIM(LEFT(C204,FIND("-",C204&amp;"-")-1)))&gt;0,COUNTIF('ثبت لیبل'!$B$11:$B$1010,SUBSTITUTE(TRIM(LEFT(C204,FIND("-",C204&amp;"-")-1)),"GD",""))&gt;0),"موجود","")</f>
        <v/>
      </c>
    </row>
    <row r="205" spans="1:16">
      <c r="A205" s="3">
        <v>204</v>
      </c>
      <c r="B205" s="3" t="s">
        <v>232</v>
      </c>
      <c r="C205" s="3" t="s">
        <v>235</v>
      </c>
      <c r="D205" s="3">
        <v>0.03</v>
      </c>
      <c r="E205" s="3">
        <v>750</v>
      </c>
      <c r="F205" s="3">
        <v>0</v>
      </c>
      <c r="G205" s="3">
        <v>0</v>
      </c>
      <c r="H205" s="3">
        <v>0</v>
      </c>
      <c r="I205" s="3">
        <v>0</v>
      </c>
      <c r="J205" s="4">
        <v>550000</v>
      </c>
      <c r="K205" s="4">
        <v>550000</v>
      </c>
      <c r="L205" s="3" t="s">
        <v>17</v>
      </c>
      <c r="M205" s="3" t="s">
        <v>234</v>
      </c>
      <c r="N205" s="2"/>
      <c r="O205" s="2"/>
      <c r="P205" s="3" t="str">
        <f>IF(OR(COUNTIF('ثبت لیبل'!$B$11:$B$1010,TRIM(LEFT(C205,FIND("-",C205&amp;"-")-1)))&gt;0,COUNTIF('ثبت لیبل'!$B$11:$B$1010,SUBSTITUTE(TRIM(LEFT(C205,FIND("-",C205&amp;"-")-1)),"GD",""))&gt;0),"موجود","")</f>
        <v/>
      </c>
    </row>
    <row r="206" spans="1:16">
      <c r="A206" s="3">
        <v>205</v>
      </c>
      <c r="B206" s="3" t="s">
        <v>232</v>
      </c>
      <c r="C206" s="3" t="s">
        <v>236</v>
      </c>
      <c r="D206" s="3">
        <v>0.04</v>
      </c>
      <c r="E206" s="3">
        <v>750</v>
      </c>
      <c r="F206" s="3">
        <v>0</v>
      </c>
      <c r="G206" s="3">
        <v>0</v>
      </c>
      <c r="H206" s="3">
        <v>0</v>
      </c>
      <c r="I206" s="3">
        <v>0</v>
      </c>
      <c r="J206" s="4">
        <v>550000</v>
      </c>
      <c r="K206" s="4">
        <v>550000</v>
      </c>
      <c r="L206" s="3" t="s">
        <v>17</v>
      </c>
      <c r="M206" s="3" t="s">
        <v>234</v>
      </c>
      <c r="N206" s="2"/>
      <c r="O206" s="2"/>
      <c r="P206" s="3" t="str">
        <f>IF(OR(COUNTIF('ثبت لیبل'!$B$11:$B$1010,TRIM(LEFT(C206,FIND("-",C206&amp;"-")-1)))&gt;0,COUNTIF('ثبت لیبل'!$B$11:$B$1010,SUBSTITUTE(TRIM(LEFT(C206,FIND("-",C206&amp;"-")-1)),"GD",""))&gt;0),"موجود","")</f>
        <v/>
      </c>
    </row>
    <row r="207" spans="1:16">
      <c r="A207" s="3">
        <v>206</v>
      </c>
      <c r="B207" s="3" t="s">
        <v>232</v>
      </c>
      <c r="C207" s="3" t="s">
        <v>237</v>
      </c>
      <c r="D207" s="3">
        <v>0.03</v>
      </c>
      <c r="E207" s="3">
        <v>750</v>
      </c>
      <c r="F207" s="3">
        <v>0</v>
      </c>
      <c r="G207" s="3">
        <v>0</v>
      </c>
      <c r="H207" s="3">
        <v>0</v>
      </c>
      <c r="I207" s="3">
        <v>0</v>
      </c>
      <c r="J207" s="4">
        <v>550000</v>
      </c>
      <c r="K207" s="4">
        <v>550000</v>
      </c>
      <c r="L207" s="3" t="s">
        <v>17</v>
      </c>
      <c r="M207" s="3" t="s">
        <v>234</v>
      </c>
      <c r="N207" s="2"/>
      <c r="O207" s="2"/>
      <c r="P207" s="3" t="str">
        <f>IF(OR(COUNTIF('ثبت لیبل'!$B$11:$B$1010,TRIM(LEFT(C207,FIND("-",C207&amp;"-")-1)))&gt;0,COUNTIF('ثبت لیبل'!$B$11:$B$1010,SUBSTITUTE(TRIM(LEFT(C207,FIND("-",C207&amp;"-")-1)),"GD",""))&gt;0),"موجود","")</f>
        <v/>
      </c>
    </row>
    <row r="208" spans="1:16">
      <c r="A208" s="3">
        <v>207</v>
      </c>
      <c r="B208" s="3" t="s">
        <v>232</v>
      </c>
      <c r="C208" s="3" t="s">
        <v>238</v>
      </c>
      <c r="D208" s="3">
        <v>7.0000000000000007E-2</v>
      </c>
      <c r="E208" s="3">
        <v>750</v>
      </c>
      <c r="F208" s="3">
        <v>0</v>
      </c>
      <c r="G208" s="3">
        <v>0</v>
      </c>
      <c r="H208" s="3">
        <v>0</v>
      </c>
      <c r="I208" s="3">
        <v>0</v>
      </c>
      <c r="J208" s="4">
        <v>550000</v>
      </c>
      <c r="K208" s="4">
        <v>550000</v>
      </c>
      <c r="L208" s="3" t="s">
        <v>17</v>
      </c>
      <c r="M208" s="3" t="s">
        <v>234</v>
      </c>
      <c r="N208" s="2"/>
      <c r="O208" s="2"/>
      <c r="P208" s="3" t="str">
        <f>IF(OR(COUNTIF('ثبت لیبل'!$B$11:$B$1010,TRIM(LEFT(C208,FIND("-",C208&amp;"-")-1)))&gt;0,COUNTIF('ثبت لیبل'!$B$11:$B$1010,SUBSTITUTE(TRIM(LEFT(C208,FIND("-",C208&amp;"-")-1)),"GD",""))&gt;0),"موجود","")</f>
        <v/>
      </c>
    </row>
    <row r="209" spans="1:16">
      <c r="A209" s="3">
        <v>208</v>
      </c>
      <c r="B209" s="3" t="s">
        <v>232</v>
      </c>
      <c r="C209" s="3" t="s">
        <v>239</v>
      </c>
      <c r="D209" s="3">
        <v>0.03</v>
      </c>
      <c r="E209" s="3">
        <v>750</v>
      </c>
      <c r="F209" s="3">
        <v>0</v>
      </c>
      <c r="G209" s="3">
        <v>0</v>
      </c>
      <c r="H209" s="3">
        <v>0</v>
      </c>
      <c r="I209" s="3">
        <v>0</v>
      </c>
      <c r="J209" s="4">
        <v>550000</v>
      </c>
      <c r="K209" s="4">
        <v>550000</v>
      </c>
      <c r="L209" s="3" t="s">
        <v>17</v>
      </c>
      <c r="M209" s="3" t="s">
        <v>234</v>
      </c>
      <c r="N209" s="2"/>
      <c r="O209" s="2"/>
      <c r="P209" s="3" t="str">
        <f>IF(OR(COUNTIF('ثبت لیبل'!$B$11:$B$1010,TRIM(LEFT(C209,FIND("-",C209&amp;"-")-1)))&gt;0,COUNTIF('ثبت لیبل'!$B$11:$B$1010,SUBSTITUTE(TRIM(LEFT(C209,FIND("-",C209&amp;"-")-1)),"GD",""))&gt;0),"موجود","")</f>
        <v/>
      </c>
    </row>
    <row r="210" spans="1:16">
      <c r="A210" s="3">
        <v>209</v>
      </c>
      <c r="B210" s="3" t="s">
        <v>232</v>
      </c>
      <c r="C210" s="3" t="s">
        <v>240</v>
      </c>
      <c r="D210" s="3">
        <v>7.0000000000000007E-2</v>
      </c>
      <c r="E210" s="3">
        <v>750</v>
      </c>
      <c r="F210" s="3">
        <v>0</v>
      </c>
      <c r="G210" s="3">
        <v>0</v>
      </c>
      <c r="H210" s="3">
        <v>0</v>
      </c>
      <c r="I210" s="3">
        <v>0</v>
      </c>
      <c r="J210" s="4">
        <v>550000</v>
      </c>
      <c r="K210" s="4">
        <v>550000</v>
      </c>
      <c r="L210" s="3" t="s">
        <v>17</v>
      </c>
      <c r="M210" s="3" t="s">
        <v>234</v>
      </c>
      <c r="N210" s="2"/>
      <c r="O210" s="2"/>
      <c r="P210" s="3" t="str">
        <f>IF(OR(COUNTIF('ثبت لیبل'!$B$11:$B$1010,TRIM(LEFT(C210,FIND("-",C210&amp;"-")-1)))&gt;0,COUNTIF('ثبت لیبل'!$B$11:$B$1010,SUBSTITUTE(TRIM(LEFT(C210,FIND("-",C210&amp;"-")-1)),"GD",""))&gt;0),"موجود","")</f>
        <v/>
      </c>
    </row>
    <row r="211" spans="1:16">
      <c r="A211" s="3">
        <v>210</v>
      </c>
      <c r="B211" s="3" t="s">
        <v>232</v>
      </c>
      <c r="C211" s="3" t="s">
        <v>241</v>
      </c>
      <c r="D211" s="3">
        <v>0.03</v>
      </c>
      <c r="E211" s="3">
        <v>750</v>
      </c>
      <c r="F211" s="3">
        <v>0</v>
      </c>
      <c r="G211" s="3">
        <v>0</v>
      </c>
      <c r="H211" s="3">
        <v>0</v>
      </c>
      <c r="I211" s="3">
        <v>0</v>
      </c>
      <c r="J211" s="4">
        <v>550000</v>
      </c>
      <c r="K211" s="4">
        <v>550000</v>
      </c>
      <c r="L211" s="3" t="s">
        <v>17</v>
      </c>
      <c r="M211" s="3" t="s">
        <v>234</v>
      </c>
      <c r="N211" s="2"/>
      <c r="O211" s="2"/>
      <c r="P211" s="3" t="str">
        <f>IF(OR(COUNTIF('ثبت لیبل'!$B$11:$B$1010,TRIM(LEFT(C211,FIND("-",C211&amp;"-")-1)))&gt;0,COUNTIF('ثبت لیبل'!$B$11:$B$1010,SUBSTITUTE(TRIM(LEFT(C211,FIND("-",C211&amp;"-")-1)),"GD",""))&gt;0),"موجود","")</f>
        <v/>
      </c>
    </row>
    <row r="212" spans="1:16">
      <c r="A212" s="3">
        <v>211</v>
      </c>
      <c r="B212" s="3" t="s">
        <v>232</v>
      </c>
      <c r="C212" s="3" t="s">
        <v>242</v>
      </c>
      <c r="D212" s="3">
        <v>7.0000000000000007E-2</v>
      </c>
      <c r="E212" s="3">
        <v>750</v>
      </c>
      <c r="F212" s="3">
        <v>0</v>
      </c>
      <c r="G212" s="3">
        <v>0</v>
      </c>
      <c r="H212" s="3">
        <v>0</v>
      </c>
      <c r="I212" s="3">
        <v>0</v>
      </c>
      <c r="J212" s="4">
        <v>550000</v>
      </c>
      <c r="K212" s="4">
        <v>550000</v>
      </c>
      <c r="L212" s="3" t="s">
        <v>17</v>
      </c>
      <c r="M212" s="3" t="s">
        <v>234</v>
      </c>
      <c r="N212" s="2"/>
      <c r="O212" s="2"/>
      <c r="P212" s="3" t="str">
        <f>IF(OR(COUNTIF('ثبت لیبل'!$B$11:$B$1010,TRIM(LEFT(C212,FIND("-",C212&amp;"-")-1)))&gt;0,COUNTIF('ثبت لیبل'!$B$11:$B$1010,SUBSTITUTE(TRIM(LEFT(C212,FIND("-",C212&amp;"-")-1)),"GD",""))&gt;0),"موجود","")</f>
        <v/>
      </c>
    </row>
    <row r="213" spans="1:16">
      <c r="A213" s="3">
        <v>212</v>
      </c>
      <c r="B213" s="3" t="s">
        <v>232</v>
      </c>
      <c r="C213" s="3" t="s">
        <v>243</v>
      </c>
      <c r="D213" s="3">
        <v>0.03</v>
      </c>
      <c r="E213" s="3">
        <v>750</v>
      </c>
      <c r="F213" s="3">
        <v>0</v>
      </c>
      <c r="G213" s="3">
        <v>0</v>
      </c>
      <c r="H213" s="3">
        <v>0</v>
      </c>
      <c r="I213" s="3">
        <v>0</v>
      </c>
      <c r="J213" s="4">
        <v>550000</v>
      </c>
      <c r="K213" s="4">
        <v>550000</v>
      </c>
      <c r="L213" s="3" t="s">
        <v>17</v>
      </c>
      <c r="M213" s="3" t="s">
        <v>234</v>
      </c>
      <c r="N213" s="2"/>
      <c r="O213" s="2"/>
      <c r="P213" s="3" t="str">
        <f>IF(OR(COUNTIF('ثبت لیبل'!$B$11:$B$1010,TRIM(LEFT(C213,FIND("-",C213&amp;"-")-1)))&gt;0,COUNTIF('ثبت لیبل'!$B$11:$B$1010,SUBSTITUTE(TRIM(LEFT(C213,FIND("-",C213&amp;"-")-1)),"GD",""))&gt;0),"موجود","")</f>
        <v/>
      </c>
    </row>
    <row r="214" spans="1:16">
      <c r="A214" s="3">
        <v>213</v>
      </c>
      <c r="B214" s="3" t="s">
        <v>232</v>
      </c>
      <c r="C214" s="3" t="s">
        <v>244</v>
      </c>
      <c r="D214" s="3">
        <v>0.03</v>
      </c>
      <c r="E214" s="3">
        <v>750</v>
      </c>
      <c r="F214" s="3">
        <v>0</v>
      </c>
      <c r="G214" s="3">
        <v>0</v>
      </c>
      <c r="H214" s="3">
        <v>0</v>
      </c>
      <c r="I214" s="3">
        <v>0</v>
      </c>
      <c r="J214" s="4">
        <v>550000</v>
      </c>
      <c r="K214" s="4">
        <v>550000</v>
      </c>
      <c r="L214" s="3" t="s">
        <v>17</v>
      </c>
      <c r="M214" s="3" t="s">
        <v>234</v>
      </c>
      <c r="N214" s="2"/>
      <c r="O214" s="2"/>
      <c r="P214" s="3" t="str">
        <f>IF(OR(COUNTIF('ثبت لیبل'!$B$11:$B$1010,TRIM(LEFT(C214,FIND("-",C214&amp;"-")-1)))&gt;0,COUNTIF('ثبت لیبل'!$B$11:$B$1010,SUBSTITUTE(TRIM(LEFT(C214,FIND("-",C214&amp;"-")-1)),"GD",""))&gt;0),"موجود","")</f>
        <v/>
      </c>
    </row>
    <row r="215" spans="1:16">
      <c r="A215" s="3">
        <v>214</v>
      </c>
      <c r="B215" s="3" t="s">
        <v>232</v>
      </c>
      <c r="C215" s="3" t="s">
        <v>245</v>
      </c>
      <c r="D215" s="3">
        <v>7.0000000000000007E-2</v>
      </c>
      <c r="E215" s="3">
        <v>750</v>
      </c>
      <c r="F215" s="3">
        <v>0</v>
      </c>
      <c r="G215" s="3">
        <v>0</v>
      </c>
      <c r="H215" s="3">
        <v>0</v>
      </c>
      <c r="I215" s="3">
        <v>0</v>
      </c>
      <c r="J215" s="4">
        <v>550000</v>
      </c>
      <c r="K215" s="4">
        <v>550000</v>
      </c>
      <c r="L215" s="3" t="s">
        <v>17</v>
      </c>
      <c r="M215" s="3" t="s">
        <v>234</v>
      </c>
      <c r="N215" s="2"/>
      <c r="O215" s="2"/>
      <c r="P215" s="3" t="str">
        <f>IF(OR(COUNTIF('ثبت لیبل'!$B$11:$B$1010,TRIM(LEFT(C215,FIND("-",C215&amp;"-")-1)))&gt;0,COUNTIF('ثبت لیبل'!$B$11:$B$1010,SUBSTITUTE(TRIM(LEFT(C215,FIND("-",C215&amp;"-")-1)),"GD",""))&gt;0),"موجود","")</f>
        <v/>
      </c>
    </row>
    <row r="216" spans="1:16">
      <c r="A216" s="3">
        <v>215</v>
      </c>
      <c r="B216" s="3" t="s">
        <v>232</v>
      </c>
      <c r="C216" s="3" t="s">
        <v>246</v>
      </c>
      <c r="D216" s="3">
        <v>0.03</v>
      </c>
      <c r="E216" s="3">
        <v>750</v>
      </c>
      <c r="F216" s="3">
        <v>0</v>
      </c>
      <c r="G216" s="3">
        <v>0</v>
      </c>
      <c r="H216" s="3">
        <v>0</v>
      </c>
      <c r="I216" s="3">
        <v>0</v>
      </c>
      <c r="J216" s="4">
        <v>550000</v>
      </c>
      <c r="K216" s="4">
        <v>550000</v>
      </c>
      <c r="L216" s="3" t="s">
        <v>17</v>
      </c>
      <c r="M216" s="3" t="s">
        <v>234</v>
      </c>
      <c r="N216" s="2"/>
      <c r="O216" s="2"/>
      <c r="P216" s="3" t="str">
        <f>IF(OR(COUNTIF('ثبت لیبل'!$B$11:$B$1010,TRIM(LEFT(C216,FIND("-",C216&amp;"-")-1)))&gt;0,COUNTIF('ثبت لیبل'!$B$11:$B$1010,SUBSTITUTE(TRIM(LEFT(C216,FIND("-",C216&amp;"-")-1)),"GD",""))&gt;0),"موجود","")</f>
        <v/>
      </c>
    </row>
    <row r="217" spans="1:16">
      <c r="A217" s="3">
        <v>216</v>
      </c>
      <c r="B217" s="3" t="s">
        <v>232</v>
      </c>
      <c r="C217" s="3" t="s">
        <v>247</v>
      </c>
      <c r="D217" s="3">
        <v>0.03</v>
      </c>
      <c r="E217" s="3">
        <v>750</v>
      </c>
      <c r="F217" s="3">
        <v>0</v>
      </c>
      <c r="G217" s="3">
        <v>0</v>
      </c>
      <c r="H217" s="3">
        <v>0</v>
      </c>
      <c r="I217" s="3">
        <v>0</v>
      </c>
      <c r="J217" s="4">
        <v>550000</v>
      </c>
      <c r="K217" s="4">
        <v>550000</v>
      </c>
      <c r="L217" s="3" t="s">
        <v>17</v>
      </c>
      <c r="M217" s="3" t="s">
        <v>234</v>
      </c>
      <c r="N217" s="2"/>
      <c r="O217" s="2"/>
      <c r="P217" s="3" t="str">
        <f>IF(OR(COUNTIF('ثبت لیبل'!$B$11:$B$1010,TRIM(LEFT(C217,FIND("-",C217&amp;"-")-1)))&gt;0,COUNTIF('ثبت لیبل'!$B$11:$B$1010,SUBSTITUTE(TRIM(LEFT(C217,FIND("-",C217&amp;"-")-1)),"GD",""))&gt;0),"موجود","")</f>
        <v/>
      </c>
    </row>
    <row r="218" spans="1:16">
      <c r="A218" s="3">
        <v>217</v>
      </c>
      <c r="B218" s="3" t="s">
        <v>232</v>
      </c>
      <c r="C218" s="3" t="s">
        <v>248</v>
      </c>
      <c r="D218" s="3">
        <v>7.0000000000000007E-2</v>
      </c>
      <c r="E218" s="3">
        <v>750</v>
      </c>
      <c r="F218" s="3">
        <v>0</v>
      </c>
      <c r="G218" s="3">
        <v>0</v>
      </c>
      <c r="H218" s="3">
        <v>0</v>
      </c>
      <c r="I218" s="3">
        <v>0</v>
      </c>
      <c r="J218" s="4">
        <v>550000</v>
      </c>
      <c r="K218" s="4">
        <v>550000</v>
      </c>
      <c r="L218" s="3" t="s">
        <v>17</v>
      </c>
      <c r="M218" s="3" t="s">
        <v>234</v>
      </c>
      <c r="N218" s="2"/>
      <c r="O218" s="2"/>
      <c r="P218" s="3" t="str">
        <f>IF(OR(COUNTIF('ثبت لیبل'!$B$11:$B$1010,TRIM(LEFT(C218,FIND("-",C218&amp;"-")-1)))&gt;0,COUNTIF('ثبت لیبل'!$B$11:$B$1010,SUBSTITUTE(TRIM(LEFT(C218,FIND("-",C218&amp;"-")-1)),"GD",""))&gt;0),"موجود","")</f>
        <v/>
      </c>
    </row>
    <row r="219" spans="1:16">
      <c r="A219" s="3">
        <v>218</v>
      </c>
      <c r="B219" s="3" t="s">
        <v>232</v>
      </c>
      <c r="C219" s="3" t="s">
        <v>249</v>
      </c>
      <c r="D219" s="3">
        <v>0.03</v>
      </c>
      <c r="E219" s="3">
        <v>750</v>
      </c>
      <c r="F219" s="3">
        <v>0</v>
      </c>
      <c r="G219" s="3">
        <v>0</v>
      </c>
      <c r="H219" s="3">
        <v>0</v>
      </c>
      <c r="I219" s="3">
        <v>0</v>
      </c>
      <c r="J219" s="4">
        <v>550000</v>
      </c>
      <c r="K219" s="4">
        <v>550000</v>
      </c>
      <c r="L219" s="3" t="s">
        <v>17</v>
      </c>
      <c r="M219" s="3" t="s">
        <v>234</v>
      </c>
      <c r="N219" s="2"/>
      <c r="O219" s="2"/>
      <c r="P219" s="3" t="str">
        <f>IF(OR(COUNTIF('ثبت لیبل'!$B$11:$B$1010,TRIM(LEFT(C219,FIND("-",C219&amp;"-")-1)))&gt;0,COUNTIF('ثبت لیبل'!$B$11:$B$1010,SUBSTITUTE(TRIM(LEFT(C219,FIND("-",C219&amp;"-")-1)),"GD",""))&gt;0),"موجود","")</f>
        <v/>
      </c>
    </row>
    <row r="220" spans="1:16">
      <c r="A220" s="3">
        <v>219</v>
      </c>
      <c r="B220" s="3" t="s">
        <v>232</v>
      </c>
      <c r="C220" s="3" t="s">
        <v>250</v>
      </c>
      <c r="D220" s="3">
        <v>0.04</v>
      </c>
      <c r="E220" s="3">
        <v>750</v>
      </c>
      <c r="F220" s="3">
        <v>0</v>
      </c>
      <c r="G220" s="3">
        <v>0</v>
      </c>
      <c r="H220" s="3">
        <v>0</v>
      </c>
      <c r="I220" s="3">
        <v>0</v>
      </c>
      <c r="J220" s="4">
        <v>550000</v>
      </c>
      <c r="K220" s="4">
        <v>550000</v>
      </c>
      <c r="L220" s="3" t="s">
        <v>17</v>
      </c>
      <c r="M220" s="3" t="s">
        <v>234</v>
      </c>
      <c r="N220" s="2"/>
      <c r="O220" s="2"/>
      <c r="P220" s="3" t="str">
        <f>IF(OR(COUNTIF('ثبت لیبل'!$B$11:$B$1010,TRIM(LEFT(C220,FIND("-",C220&amp;"-")-1)))&gt;0,COUNTIF('ثبت لیبل'!$B$11:$B$1010,SUBSTITUTE(TRIM(LEFT(C220,FIND("-",C220&amp;"-")-1)),"GD",""))&gt;0),"موجود","")</f>
        <v/>
      </c>
    </row>
    <row r="221" spans="1:16">
      <c r="A221" s="3">
        <v>220</v>
      </c>
      <c r="B221" s="3" t="s">
        <v>232</v>
      </c>
      <c r="C221" s="3" t="s">
        <v>251</v>
      </c>
      <c r="D221" s="3">
        <v>0.1</v>
      </c>
      <c r="E221" s="3">
        <v>750</v>
      </c>
      <c r="F221" s="3">
        <v>0</v>
      </c>
      <c r="G221" s="3">
        <v>0</v>
      </c>
      <c r="H221" s="3">
        <v>0</v>
      </c>
      <c r="I221" s="3">
        <v>0</v>
      </c>
      <c r="J221" s="4">
        <v>550000</v>
      </c>
      <c r="K221" s="4">
        <v>550000</v>
      </c>
      <c r="L221" s="3" t="s">
        <v>17</v>
      </c>
      <c r="M221" s="3" t="s">
        <v>234</v>
      </c>
      <c r="N221" s="2"/>
      <c r="O221" s="2"/>
      <c r="P221" s="3" t="str">
        <f>IF(OR(COUNTIF('ثبت لیبل'!$B$11:$B$1010,TRIM(LEFT(C221,FIND("-",C221&amp;"-")-1)))&gt;0,COUNTIF('ثبت لیبل'!$B$11:$B$1010,SUBSTITUTE(TRIM(LEFT(C221,FIND("-",C221&amp;"-")-1)),"GD",""))&gt;0),"موجود","")</f>
        <v/>
      </c>
    </row>
    <row r="222" spans="1:16">
      <c r="A222" s="3">
        <v>221</v>
      </c>
      <c r="B222" s="3" t="s">
        <v>232</v>
      </c>
      <c r="C222" s="3" t="s">
        <v>252</v>
      </c>
      <c r="D222" s="3">
        <v>0.04</v>
      </c>
      <c r="E222" s="3">
        <v>750</v>
      </c>
      <c r="F222" s="3">
        <v>0</v>
      </c>
      <c r="G222" s="3">
        <v>0</v>
      </c>
      <c r="H222" s="3">
        <v>0</v>
      </c>
      <c r="I222" s="3">
        <v>0</v>
      </c>
      <c r="J222" s="4">
        <v>550000</v>
      </c>
      <c r="K222" s="4">
        <v>550000</v>
      </c>
      <c r="L222" s="3" t="s">
        <v>17</v>
      </c>
      <c r="M222" s="3" t="s">
        <v>234</v>
      </c>
      <c r="N222" s="2"/>
      <c r="O222" s="2"/>
      <c r="P222" s="3" t="str">
        <f>IF(OR(COUNTIF('ثبت لیبل'!$B$11:$B$1010,TRIM(LEFT(C222,FIND("-",C222&amp;"-")-1)))&gt;0,COUNTIF('ثبت لیبل'!$B$11:$B$1010,SUBSTITUTE(TRIM(LEFT(C222,FIND("-",C222&amp;"-")-1)),"GD",""))&gt;0),"موجود","")</f>
        <v/>
      </c>
    </row>
    <row r="223" spans="1:16">
      <c r="A223" s="3">
        <v>222</v>
      </c>
      <c r="B223" s="3" t="s">
        <v>232</v>
      </c>
      <c r="C223" s="3" t="s">
        <v>253</v>
      </c>
      <c r="D223" s="3">
        <v>0.04</v>
      </c>
      <c r="E223" s="3">
        <v>750</v>
      </c>
      <c r="F223" s="3">
        <v>0</v>
      </c>
      <c r="G223" s="3">
        <v>0</v>
      </c>
      <c r="H223" s="3">
        <v>0</v>
      </c>
      <c r="I223" s="3">
        <v>0</v>
      </c>
      <c r="J223" s="4">
        <v>550000</v>
      </c>
      <c r="K223" s="4">
        <v>550000</v>
      </c>
      <c r="L223" s="3" t="s">
        <v>17</v>
      </c>
      <c r="M223" s="3" t="s">
        <v>234</v>
      </c>
      <c r="N223" s="2"/>
      <c r="O223" s="2"/>
      <c r="P223" s="3" t="str">
        <f>IF(OR(COUNTIF('ثبت لیبل'!$B$11:$B$1010,TRIM(LEFT(C223,FIND("-",C223&amp;"-")-1)))&gt;0,COUNTIF('ثبت لیبل'!$B$11:$B$1010,SUBSTITUTE(TRIM(LEFT(C223,FIND("-",C223&amp;"-")-1)),"GD",""))&gt;0),"موجود","")</f>
        <v/>
      </c>
    </row>
    <row r="224" spans="1:16">
      <c r="A224" s="3">
        <v>223</v>
      </c>
      <c r="B224" s="3" t="s">
        <v>232</v>
      </c>
      <c r="C224" s="3" t="s">
        <v>254</v>
      </c>
      <c r="D224" s="3">
        <v>0.15</v>
      </c>
      <c r="E224" s="3">
        <v>750</v>
      </c>
      <c r="F224" s="3">
        <v>0</v>
      </c>
      <c r="G224" s="3">
        <v>0</v>
      </c>
      <c r="H224" s="3">
        <v>0</v>
      </c>
      <c r="I224" s="3">
        <v>0</v>
      </c>
      <c r="J224" s="4">
        <v>550000</v>
      </c>
      <c r="K224" s="4">
        <v>550000</v>
      </c>
      <c r="L224" s="3" t="s">
        <v>17</v>
      </c>
      <c r="M224" s="3" t="s">
        <v>234</v>
      </c>
      <c r="N224" s="2"/>
      <c r="O224" s="2"/>
      <c r="P224" s="3" t="str">
        <f>IF(OR(COUNTIF('ثبت لیبل'!$B$11:$B$1010,TRIM(LEFT(C224,FIND("-",C224&amp;"-")-1)))&gt;0,COUNTIF('ثبت لیبل'!$B$11:$B$1010,SUBSTITUTE(TRIM(LEFT(C224,FIND("-",C224&amp;"-")-1)),"GD",""))&gt;0),"موجود","")</f>
        <v/>
      </c>
    </row>
    <row r="225" spans="1:16">
      <c r="A225" s="3">
        <v>224</v>
      </c>
      <c r="B225" s="3" t="s">
        <v>232</v>
      </c>
      <c r="C225" s="3" t="s">
        <v>255</v>
      </c>
      <c r="D225" s="3">
        <v>0.04</v>
      </c>
      <c r="E225" s="3">
        <v>750</v>
      </c>
      <c r="F225" s="3">
        <v>0</v>
      </c>
      <c r="G225" s="3">
        <v>0</v>
      </c>
      <c r="H225" s="3">
        <v>0</v>
      </c>
      <c r="I225" s="3">
        <v>0</v>
      </c>
      <c r="J225" s="4">
        <v>550000</v>
      </c>
      <c r="K225" s="4">
        <v>550000</v>
      </c>
      <c r="L225" s="3" t="s">
        <v>17</v>
      </c>
      <c r="M225" s="3" t="s">
        <v>234</v>
      </c>
      <c r="N225" s="2"/>
      <c r="O225" s="2"/>
      <c r="P225" s="3" t="str">
        <f>IF(OR(COUNTIF('ثبت لیبل'!$B$11:$B$1010,TRIM(LEFT(C225,FIND("-",C225&amp;"-")-1)))&gt;0,COUNTIF('ثبت لیبل'!$B$11:$B$1010,SUBSTITUTE(TRIM(LEFT(C225,FIND("-",C225&amp;"-")-1)),"GD",""))&gt;0),"موجود","")</f>
        <v/>
      </c>
    </row>
    <row r="226" spans="1:16">
      <c r="A226" s="3">
        <v>225</v>
      </c>
      <c r="B226" s="3" t="s">
        <v>232</v>
      </c>
      <c r="C226" s="3" t="s">
        <v>256</v>
      </c>
      <c r="D226" s="3">
        <v>0.04</v>
      </c>
      <c r="E226" s="3">
        <v>750</v>
      </c>
      <c r="F226" s="3">
        <v>0</v>
      </c>
      <c r="G226" s="3">
        <v>0</v>
      </c>
      <c r="H226" s="3">
        <v>0</v>
      </c>
      <c r="I226" s="3">
        <v>0</v>
      </c>
      <c r="J226" s="4">
        <v>550000</v>
      </c>
      <c r="K226" s="4">
        <v>550000</v>
      </c>
      <c r="L226" s="3" t="s">
        <v>17</v>
      </c>
      <c r="M226" s="3" t="s">
        <v>234</v>
      </c>
      <c r="N226" s="2"/>
      <c r="O226" s="2"/>
      <c r="P226" s="3" t="str">
        <f>IF(OR(COUNTIF('ثبت لیبل'!$B$11:$B$1010,TRIM(LEFT(C226,FIND("-",C226&amp;"-")-1)))&gt;0,COUNTIF('ثبت لیبل'!$B$11:$B$1010,SUBSTITUTE(TRIM(LEFT(C226,FIND("-",C226&amp;"-")-1)),"GD",""))&gt;0),"موجود","")</f>
        <v/>
      </c>
    </row>
    <row r="227" spans="1:16">
      <c r="A227" s="3">
        <v>226</v>
      </c>
      <c r="B227" s="3" t="s">
        <v>232</v>
      </c>
      <c r="C227" s="3" t="s">
        <v>257</v>
      </c>
      <c r="D227" s="3">
        <v>0.15</v>
      </c>
      <c r="E227" s="3">
        <v>750</v>
      </c>
      <c r="F227" s="3">
        <v>0</v>
      </c>
      <c r="G227" s="3">
        <v>0</v>
      </c>
      <c r="H227" s="3">
        <v>0</v>
      </c>
      <c r="I227" s="3">
        <v>0</v>
      </c>
      <c r="J227" s="4">
        <v>550000</v>
      </c>
      <c r="K227" s="4">
        <v>550000</v>
      </c>
      <c r="L227" s="3" t="s">
        <v>17</v>
      </c>
      <c r="M227" s="3" t="s">
        <v>234</v>
      </c>
      <c r="N227" s="2"/>
      <c r="O227" s="2"/>
      <c r="P227" s="3" t="str">
        <f>IF(OR(COUNTIF('ثبت لیبل'!$B$11:$B$1010,TRIM(LEFT(C227,FIND("-",C227&amp;"-")-1)))&gt;0,COUNTIF('ثبت لیبل'!$B$11:$B$1010,SUBSTITUTE(TRIM(LEFT(C227,FIND("-",C227&amp;"-")-1)),"GD",""))&gt;0),"موجود","")</f>
        <v/>
      </c>
    </row>
    <row r="228" spans="1:16">
      <c r="A228" s="3">
        <v>227</v>
      </c>
      <c r="B228" s="3" t="s">
        <v>232</v>
      </c>
      <c r="C228" s="3" t="s">
        <v>258</v>
      </c>
      <c r="D228" s="3">
        <v>0.04</v>
      </c>
      <c r="E228" s="3">
        <v>750</v>
      </c>
      <c r="F228" s="3">
        <v>0</v>
      </c>
      <c r="G228" s="3">
        <v>0</v>
      </c>
      <c r="H228" s="3">
        <v>0</v>
      </c>
      <c r="I228" s="3">
        <v>0</v>
      </c>
      <c r="J228" s="4">
        <v>550000</v>
      </c>
      <c r="K228" s="4">
        <v>550000</v>
      </c>
      <c r="L228" s="3" t="s">
        <v>17</v>
      </c>
      <c r="M228" s="3" t="s">
        <v>234</v>
      </c>
      <c r="N228" s="2"/>
      <c r="O228" s="2"/>
      <c r="P228" s="3" t="str">
        <f>IF(OR(COUNTIF('ثبت لیبل'!$B$11:$B$1010,TRIM(LEFT(C228,FIND("-",C228&amp;"-")-1)))&gt;0,COUNTIF('ثبت لیبل'!$B$11:$B$1010,SUBSTITUTE(TRIM(LEFT(C228,FIND("-",C228&amp;"-")-1)),"GD",""))&gt;0),"موجود","")</f>
        <v/>
      </c>
    </row>
    <row r="229" spans="1:16">
      <c r="A229" s="3">
        <v>228</v>
      </c>
      <c r="B229" s="3" t="s">
        <v>232</v>
      </c>
      <c r="C229" s="3" t="s">
        <v>259</v>
      </c>
      <c r="D229" s="3">
        <v>0.15</v>
      </c>
      <c r="E229" s="3">
        <v>750</v>
      </c>
      <c r="F229" s="3">
        <v>0</v>
      </c>
      <c r="G229" s="3">
        <v>0</v>
      </c>
      <c r="H229" s="3">
        <v>0</v>
      </c>
      <c r="I229" s="3">
        <v>0</v>
      </c>
      <c r="J229" s="4">
        <v>550000</v>
      </c>
      <c r="K229" s="4">
        <v>550000</v>
      </c>
      <c r="L229" s="3" t="s">
        <v>17</v>
      </c>
      <c r="M229" s="3" t="s">
        <v>234</v>
      </c>
      <c r="N229" s="2"/>
      <c r="O229" s="2"/>
      <c r="P229" s="3" t="str">
        <f>IF(OR(COUNTIF('ثبت لیبل'!$B$11:$B$1010,TRIM(LEFT(C229,FIND("-",C229&amp;"-")-1)))&gt;0,COUNTIF('ثبت لیبل'!$B$11:$B$1010,SUBSTITUTE(TRIM(LEFT(C229,FIND("-",C229&amp;"-")-1)),"GD",""))&gt;0),"موجود","")</f>
        <v/>
      </c>
    </row>
    <row r="230" spans="1:16">
      <c r="A230" s="3">
        <v>229</v>
      </c>
      <c r="B230" s="3" t="s">
        <v>232</v>
      </c>
      <c r="C230" s="3" t="s">
        <v>260</v>
      </c>
      <c r="D230" s="3">
        <v>0.04</v>
      </c>
      <c r="E230" s="3">
        <v>750</v>
      </c>
      <c r="F230" s="3">
        <v>0</v>
      </c>
      <c r="G230" s="3">
        <v>0</v>
      </c>
      <c r="H230" s="3">
        <v>0</v>
      </c>
      <c r="I230" s="3">
        <v>0</v>
      </c>
      <c r="J230" s="4">
        <v>550000</v>
      </c>
      <c r="K230" s="4">
        <v>550000</v>
      </c>
      <c r="L230" s="3" t="s">
        <v>17</v>
      </c>
      <c r="M230" s="3" t="s">
        <v>234</v>
      </c>
      <c r="N230" s="2"/>
      <c r="O230" s="2"/>
      <c r="P230" s="3" t="str">
        <f>IF(OR(COUNTIF('ثبت لیبل'!$B$11:$B$1010,TRIM(LEFT(C230,FIND("-",C230&amp;"-")-1)))&gt;0,COUNTIF('ثبت لیبل'!$B$11:$B$1010,SUBSTITUTE(TRIM(LEFT(C230,FIND("-",C230&amp;"-")-1)),"GD",""))&gt;0),"موجود","")</f>
        <v/>
      </c>
    </row>
    <row r="231" spans="1:16">
      <c r="A231" s="3">
        <v>230</v>
      </c>
      <c r="B231" s="3" t="s">
        <v>232</v>
      </c>
      <c r="C231" s="3" t="s">
        <v>261</v>
      </c>
      <c r="D231" s="3">
        <v>0.04</v>
      </c>
      <c r="E231" s="3">
        <v>750</v>
      </c>
      <c r="F231" s="3">
        <v>0</v>
      </c>
      <c r="G231" s="3">
        <v>0</v>
      </c>
      <c r="H231" s="3">
        <v>0</v>
      </c>
      <c r="I231" s="3">
        <v>0</v>
      </c>
      <c r="J231" s="4">
        <v>550000</v>
      </c>
      <c r="K231" s="4">
        <v>550000</v>
      </c>
      <c r="L231" s="3" t="s">
        <v>17</v>
      </c>
      <c r="M231" s="3" t="s">
        <v>234</v>
      </c>
      <c r="N231" s="2"/>
      <c r="O231" s="2"/>
      <c r="P231" s="3" t="str">
        <f>IF(OR(COUNTIF('ثبت لیبل'!$B$11:$B$1010,TRIM(LEFT(C231,FIND("-",C231&amp;"-")-1)))&gt;0,COUNTIF('ثبت لیبل'!$B$11:$B$1010,SUBSTITUTE(TRIM(LEFT(C231,FIND("-",C231&amp;"-")-1)),"GD",""))&gt;0),"موجود","")</f>
        <v/>
      </c>
    </row>
    <row r="232" spans="1:16">
      <c r="A232" s="3">
        <v>231</v>
      </c>
      <c r="B232" s="3" t="s">
        <v>232</v>
      </c>
      <c r="C232" s="3" t="s">
        <v>262</v>
      </c>
      <c r="D232" s="3">
        <v>0.15</v>
      </c>
      <c r="E232" s="3">
        <v>750</v>
      </c>
      <c r="F232" s="3">
        <v>0</v>
      </c>
      <c r="G232" s="3">
        <v>0</v>
      </c>
      <c r="H232" s="3">
        <v>0</v>
      </c>
      <c r="I232" s="3">
        <v>0</v>
      </c>
      <c r="J232" s="4">
        <v>550000</v>
      </c>
      <c r="K232" s="4">
        <v>550000</v>
      </c>
      <c r="L232" s="3" t="s">
        <v>17</v>
      </c>
      <c r="M232" s="3" t="s">
        <v>234</v>
      </c>
      <c r="N232" s="2"/>
      <c r="O232" s="2"/>
      <c r="P232" s="3" t="str">
        <f>IF(OR(COUNTIF('ثبت لیبل'!$B$11:$B$1010,TRIM(LEFT(C232,FIND("-",C232&amp;"-")-1)))&gt;0,COUNTIF('ثبت لیبل'!$B$11:$B$1010,SUBSTITUTE(TRIM(LEFT(C232,FIND("-",C232&amp;"-")-1)),"GD",""))&gt;0),"موجود","")</f>
        <v/>
      </c>
    </row>
    <row r="233" spans="1:16">
      <c r="A233" s="3">
        <v>232</v>
      </c>
      <c r="B233" s="3" t="s">
        <v>232</v>
      </c>
      <c r="C233" s="3" t="s">
        <v>263</v>
      </c>
      <c r="D233" s="3">
        <v>0.04</v>
      </c>
      <c r="E233" s="3">
        <v>750</v>
      </c>
      <c r="F233" s="3">
        <v>0</v>
      </c>
      <c r="G233" s="3">
        <v>0</v>
      </c>
      <c r="H233" s="3">
        <v>0</v>
      </c>
      <c r="I233" s="3">
        <v>0</v>
      </c>
      <c r="J233" s="4">
        <v>550000</v>
      </c>
      <c r="K233" s="4">
        <v>550000</v>
      </c>
      <c r="L233" s="3" t="s">
        <v>17</v>
      </c>
      <c r="M233" s="3" t="s">
        <v>234</v>
      </c>
      <c r="N233" s="2"/>
      <c r="O233" s="2"/>
      <c r="P233" s="3" t="str">
        <f>IF(OR(COUNTIF('ثبت لیبل'!$B$11:$B$1010,TRIM(LEFT(C233,FIND("-",C233&amp;"-")-1)))&gt;0,COUNTIF('ثبت لیبل'!$B$11:$B$1010,SUBSTITUTE(TRIM(LEFT(C233,FIND("-",C233&amp;"-")-1)),"GD",""))&gt;0),"موجود","")</f>
        <v/>
      </c>
    </row>
    <row r="234" spans="1:16">
      <c r="A234" s="3">
        <v>233</v>
      </c>
      <c r="B234" s="3" t="s">
        <v>232</v>
      </c>
      <c r="C234" s="3" t="s">
        <v>264</v>
      </c>
      <c r="D234" s="3">
        <v>0.15</v>
      </c>
      <c r="E234" s="3">
        <v>750</v>
      </c>
      <c r="F234" s="3">
        <v>0</v>
      </c>
      <c r="G234" s="3">
        <v>0</v>
      </c>
      <c r="H234" s="3">
        <v>0</v>
      </c>
      <c r="I234" s="3">
        <v>0</v>
      </c>
      <c r="J234" s="4">
        <v>550000</v>
      </c>
      <c r="K234" s="4">
        <v>550000</v>
      </c>
      <c r="L234" s="3" t="s">
        <v>17</v>
      </c>
      <c r="M234" s="3" t="s">
        <v>234</v>
      </c>
      <c r="N234" s="2"/>
      <c r="O234" s="2"/>
      <c r="P234" s="3" t="str">
        <f>IF(OR(COUNTIF('ثبت لیبل'!$B$11:$B$1010,TRIM(LEFT(C234,FIND("-",C234&amp;"-")-1)))&gt;0,COUNTIF('ثبت لیبل'!$B$11:$B$1010,SUBSTITUTE(TRIM(LEFT(C234,FIND("-",C234&amp;"-")-1)),"GD",""))&gt;0),"موجود","")</f>
        <v/>
      </c>
    </row>
    <row r="235" spans="1:16">
      <c r="A235" s="3">
        <v>234</v>
      </c>
      <c r="B235" s="3" t="s">
        <v>232</v>
      </c>
      <c r="C235" s="3" t="s">
        <v>265</v>
      </c>
      <c r="D235" s="3">
        <v>0.04</v>
      </c>
      <c r="E235" s="3">
        <v>750</v>
      </c>
      <c r="F235" s="3">
        <v>0</v>
      </c>
      <c r="G235" s="3">
        <v>0</v>
      </c>
      <c r="H235" s="3">
        <v>0</v>
      </c>
      <c r="I235" s="3">
        <v>0</v>
      </c>
      <c r="J235" s="4">
        <v>550000</v>
      </c>
      <c r="K235" s="4">
        <v>550000</v>
      </c>
      <c r="L235" s="3" t="s">
        <v>17</v>
      </c>
      <c r="M235" s="3" t="s">
        <v>234</v>
      </c>
      <c r="N235" s="2"/>
      <c r="O235" s="2"/>
      <c r="P235" s="3" t="str">
        <f>IF(OR(COUNTIF('ثبت لیبل'!$B$11:$B$1010,TRIM(LEFT(C235,FIND("-",C235&amp;"-")-1)))&gt;0,COUNTIF('ثبت لیبل'!$B$11:$B$1010,SUBSTITUTE(TRIM(LEFT(C235,FIND("-",C235&amp;"-")-1)),"GD",""))&gt;0),"موجود","")</f>
        <v/>
      </c>
    </row>
    <row r="236" spans="1:16">
      <c r="A236" s="3">
        <v>235</v>
      </c>
      <c r="B236" s="3" t="s">
        <v>232</v>
      </c>
      <c r="C236" s="3" t="s">
        <v>266</v>
      </c>
      <c r="D236" s="3">
        <v>0.15</v>
      </c>
      <c r="E236" s="3">
        <v>750</v>
      </c>
      <c r="F236" s="3">
        <v>0</v>
      </c>
      <c r="G236" s="3">
        <v>0</v>
      </c>
      <c r="H236" s="3">
        <v>0</v>
      </c>
      <c r="I236" s="3">
        <v>0</v>
      </c>
      <c r="J236" s="4">
        <v>550000</v>
      </c>
      <c r="K236" s="4">
        <v>550000</v>
      </c>
      <c r="L236" s="3" t="s">
        <v>17</v>
      </c>
      <c r="M236" s="3" t="s">
        <v>234</v>
      </c>
      <c r="N236" s="2"/>
      <c r="O236" s="2"/>
      <c r="P236" s="3" t="str">
        <f>IF(OR(COUNTIF('ثبت لیبل'!$B$11:$B$1010,TRIM(LEFT(C236,FIND("-",C236&amp;"-")-1)))&gt;0,COUNTIF('ثبت لیبل'!$B$11:$B$1010,SUBSTITUTE(TRIM(LEFT(C236,FIND("-",C236&amp;"-")-1)),"GD",""))&gt;0),"موجود","")</f>
        <v/>
      </c>
    </row>
    <row r="237" spans="1:16">
      <c r="A237" s="3">
        <v>236</v>
      </c>
      <c r="B237" s="3" t="s">
        <v>232</v>
      </c>
      <c r="C237" s="3" t="s">
        <v>267</v>
      </c>
      <c r="D237" s="3">
        <v>0.04</v>
      </c>
      <c r="E237" s="3">
        <v>750</v>
      </c>
      <c r="F237" s="3">
        <v>0</v>
      </c>
      <c r="G237" s="3">
        <v>0</v>
      </c>
      <c r="H237" s="3">
        <v>0</v>
      </c>
      <c r="I237" s="3">
        <v>0</v>
      </c>
      <c r="J237" s="4">
        <v>550000</v>
      </c>
      <c r="K237" s="4">
        <v>550000</v>
      </c>
      <c r="L237" s="3" t="s">
        <v>17</v>
      </c>
      <c r="M237" s="3" t="s">
        <v>234</v>
      </c>
      <c r="N237" s="2"/>
      <c r="O237" s="2"/>
      <c r="P237" s="3" t="str">
        <f>IF(OR(COUNTIF('ثبت لیبل'!$B$11:$B$1010,TRIM(LEFT(C237,FIND("-",C237&amp;"-")-1)))&gt;0,COUNTIF('ثبت لیبل'!$B$11:$B$1010,SUBSTITUTE(TRIM(LEFT(C237,FIND("-",C237&amp;"-")-1)),"GD",""))&gt;0),"موجود","")</f>
        <v/>
      </c>
    </row>
    <row r="238" spans="1:16">
      <c r="A238" s="3">
        <v>237</v>
      </c>
      <c r="B238" s="3" t="s">
        <v>232</v>
      </c>
      <c r="C238" s="3" t="s">
        <v>268</v>
      </c>
      <c r="D238" s="3">
        <v>0.03</v>
      </c>
      <c r="E238" s="3">
        <v>750</v>
      </c>
      <c r="F238" s="3">
        <v>0</v>
      </c>
      <c r="G238" s="3">
        <v>0</v>
      </c>
      <c r="H238" s="3">
        <v>0</v>
      </c>
      <c r="I238" s="3">
        <v>0</v>
      </c>
      <c r="J238" s="4">
        <v>550000</v>
      </c>
      <c r="K238" s="4">
        <v>550000</v>
      </c>
      <c r="L238" s="3" t="s">
        <v>17</v>
      </c>
      <c r="M238" s="3" t="s">
        <v>234</v>
      </c>
      <c r="N238" s="2"/>
      <c r="O238" s="2"/>
      <c r="P238" s="3" t="str">
        <f>IF(OR(COUNTIF('ثبت لیبل'!$B$11:$B$1010,TRIM(LEFT(C238,FIND("-",C238&amp;"-")-1)))&gt;0,COUNTIF('ثبت لیبل'!$B$11:$B$1010,SUBSTITUTE(TRIM(LEFT(C238,FIND("-",C238&amp;"-")-1)),"GD",""))&gt;0),"موجود","")</f>
        <v/>
      </c>
    </row>
    <row r="239" spans="1:16">
      <c r="A239" s="3">
        <v>238</v>
      </c>
      <c r="B239" s="3" t="s">
        <v>232</v>
      </c>
      <c r="C239" s="3" t="s">
        <v>269</v>
      </c>
      <c r="D239" s="3">
        <v>0.04</v>
      </c>
      <c r="E239" s="3">
        <v>750</v>
      </c>
      <c r="F239" s="3">
        <v>0</v>
      </c>
      <c r="G239" s="3">
        <v>0</v>
      </c>
      <c r="H239" s="3">
        <v>0</v>
      </c>
      <c r="I239" s="3">
        <v>0</v>
      </c>
      <c r="J239" s="4">
        <v>550000</v>
      </c>
      <c r="K239" s="4">
        <v>550000</v>
      </c>
      <c r="L239" s="3" t="s">
        <v>17</v>
      </c>
      <c r="M239" s="3" t="s">
        <v>234</v>
      </c>
      <c r="N239" s="2"/>
      <c r="O239" s="2"/>
      <c r="P239" s="3" t="str">
        <f>IF(OR(COUNTIF('ثبت لیبل'!$B$11:$B$1010,TRIM(LEFT(C239,FIND("-",C239&amp;"-")-1)))&gt;0,COUNTIF('ثبت لیبل'!$B$11:$B$1010,SUBSTITUTE(TRIM(LEFT(C239,FIND("-",C239&amp;"-")-1)),"GD",""))&gt;0),"موجود","")</f>
        <v/>
      </c>
    </row>
    <row r="240" spans="1:16">
      <c r="A240" s="3">
        <v>239</v>
      </c>
      <c r="B240" s="3" t="s">
        <v>232</v>
      </c>
      <c r="C240" s="3" t="s">
        <v>270</v>
      </c>
      <c r="D240" s="3">
        <v>0.03</v>
      </c>
      <c r="E240" s="3">
        <v>750</v>
      </c>
      <c r="F240" s="3">
        <v>0</v>
      </c>
      <c r="G240" s="3">
        <v>0</v>
      </c>
      <c r="H240" s="3">
        <v>0</v>
      </c>
      <c r="I240" s="3">
        <v>0</v>
      </c>
      <c r="J240" s="4">
        <v>550000</v>
      </c>
      <c r="K240" s="4">
        <v>550000</v>
      </c>
      <c r="L240" s="3" t="s">
        <v>17</v>
      </c>
      <c r="M240" s="3" t="s">
        <v>234</v>
      </c>
      <c r="N240" s="2"/>
      <c r="O240" s="2"/>
      <c r="P240" s="3" t="str">
        <f>IF(OR(COUNTIF('ثبت لیبل'!$B$11:$B$1010,TRIM(LEFT(C240,FIND("-",C240&amp;"-")-1)))&gt;0,COUNTIF('ثبت لیبل'!$B$11:$B$1010,SUBSTITUTE(TRIM(LEFT(C240,FIND("-",C240&amp;"-")-1)),"GD",""))&gt;0),"موجود","")</f>
        <v/>
      </c>
    </row>
    <row r="241" spans="1:16">
      <c r="A241" s="3">
        <v>240</v>
      </c>
      <c r="B241" s="3" t="s">
        <v>232</v>
      </c>
      <c r="C241" s="3" t="s">
        <v>271</v>
      </c>
      <c r="D241" s="3">
        <v>0.03</v>
      </c>
      <c r="E241" s="3">
        <v>750</v>
      </c>
      <c r="F241" s="3">
        <v>0</v>
      </c>
      <c r="G241" s="3">
        <v>0</v>
      </c>
      <c r="H241" s="3">
        <v>0</v>
      </c>
      <c r="I241" s="3">
        <v>0</v>
      </c>
      <c r="J241" s="4">
        <v>550000</v>
      </c>
      <c r="K241" s="4">
        <v>550000</v>
      </c>
      <c r="L241" s="3" t="s">
        <v>17</v>
      </c>
      <c r="M241" s="3" t="s">
        <v>234</v>
      </c>
      <c r="N241" s="2"/>
      <c r="O241" s="2"/>
      <c r="P241" s="3" t="str">
        <f>IF(OR(COUNTIF('ثبت لیبل'!$B$11:$B$1010,TRIM(LEFT(C241,FIND("-",C241&amp;"-")-1)))&gt;0,COUNTIF('ثبت لیبل'!$B$11:$B$1010,SUBSTITUTE(TRIM(LEFT(C241,FIND("-",C241&amp;"-")-1)),"GD",""))&gt;0),"موجود","")</f>
        <v/>
      </c>
    </row>
    <row r="242" spans="1:16">
      <c r="A242" s="3">
        <v>241</v>
      </c>
      <c r="B242" s="3" t="s">
        <v>232</v>
      </c>
      <c r="C242" s="3" t="s">
        <v>272</v>
      </c>
      <c r="D242" s="3">
        <v>0.2</v>
      </c>
      <c r="E242" s="3">
        <v>750</v>
      </c>
      <c r="F242" s="3">
        <v>0</v>
      </c>
      <c r="G242" s="3">
        <v>0</v>
      </c>
      <c r="H242" s="3">
        <v>0</v>
      </c>
      <c r="I242" s="3">
        <v>0</v>
      </c>
      <c r="J242" s="4">
        <v>550000</v>
      </c>
      <c r="K242" s="4">
        <v>550000</v>
      </c>
      <c r="L242" s="3" t="s">
        <v>17</v>
      </c>
      <c r="M242" s="3" t="s">
        <v>234</v>
      </c>
      <c r="N242" s="2"/>
      <c r="O242" s="2"/>
      <c r="P242" s="3" t="str">
        <f>IF(OR(COUNTIF('ثبت لیبل'!$B$11:$B$1010,TRIM(LEFT(C242,FIND("-",C242&amp;"-")-1)))&gt;0,COUNTIF('ثبت لیبل'!$B$11:$B$1010,SUBSTITUTE(TRIM(LEFT(C242,FIND("-",C242&amp;"-")-1)),"GD",""))&gt;0),"موجود","")</f>
        <v/>
      </c>
    </row>
    <row r="243" spans="1:16">
      <c r="A243" s="3">
        <v>242</v>
      </c>
      <c r="B243" s="3" t="s">
        <v>232</v>
      </c>
      <c r="C243" s="3" t="s">
        <v>273</v>
      </c>
      <c r="D243" s="3">
        <v>0.04</v>
      </c>
      <c r="E243" s="3">
        <v>750</v>
      </c>
      <c r="F243" s="3">
        <v>0</v>
      </c>
      <c r="G243" s="3">
        <v>0</v>
      </c>
      <c r="H243" s="3">
        <v>0</v>
      </c>
      <c r="I243" s="3">
        <v>0</v>
      </c>
      <c r="J243" s="4">
        <v>550000</v>
      </c>
      <c r="K243" s="4">
        <v>550000</v>
      </c>
      <c r="L243" s="3" t="s">
        <v>17</v>
      </c>
      <c r="M243" s="3" t="s">
        <v>234</v>
      </c>
      <c r="N243" s="2"/>
      <c r="O243" s="2"/>
      <c r="P243" s="3" t="str">
        <f>IF(OR(COUNTIF('ثبت لیبل'!$B$11:$B$1010,TRIM(LEFT(C243,FIND("-",C243&amp;"-")-1)))&gt;0,COUNTIF('ثبت لیبل'!$B$11:$B$1010,SUBSTITUTE(TRIM(LEFT(C243,FIND("-",C243&amp;"-")-1)),"GD",""))&gt;0),"موجود","")</f>
        <v/>
      </c>
    </row>
    <row r="244" spans="1:16">
      <c r="A244" s="3">
        <v>243</v>
      </c>
      <c r="B244" s="3" t="s">
        <v>232</v>
      </c>
      <c r="C244" s="3" t="s">
        <v>274</v>
      </c>
      <c r="D244" s="3">
        <v>0.04</v>
      </c>
      <c r="E244" s="3">
        <v>750</v>
      </c>
      <c r="F244" s="3">
        <v>0</v>
      </c>
      <c r="G244" s="3">
        <v>0</v>
      </c>
      <c r="H244" s="3">
        <v>0</v>
      </c>
      <c r="I244" s="3">
        <v>0</v>
      </c>
      <c r="J244" s="4">
        <v>550000</v>
      </c>
      <c r="K244" s="4">
        <v>550000</v>
      </c>
      <c r="L244" s="3" t="s">
        <v>17</v>
      </c>
      <c r="M244" s="3" t="s">
        <v>234</v>
      </c>
      <c r="N244" s="2"/>
      <c r="O244" s="2"/>
      <c r="P244" s="3" t="str">
        <f>IF(OR(COUNTIF('ثبت لیبل'!$B$11:$B$1010,TRIM(LEFT(C244,FIND("-",C244&amp;"-")-1)))&gt;0,COUNTIF('ثبت لیبل'!$B$11:$B$1010,SUBSTITUTE(TRIM(LEFT(C244,FIND("-",C244&amp;"-")-1)),"GD",""))&gt;0),"موجود","")</f>
        <v/>
      </c>
    </row>
    <row r="245" spans="1:16">
      <c r="A245" s="3">
        <v>244</v>
      </c>
      <c r="B245" s="3" t="s">
        <v>232</v>
      </c>
      <c r="C245" s="3" t="s">
        <v>275</v>
      </c>
      <c r="D245" s="3">
        <v>0.04</v>
      </c>
      <c r="E245" s="3">
        <v>750</v>
      </c>
      <c r="F245" s="3">
        <v>0</v>
      </c>
      <c r="G245" s="3">
        <v>0</v>
      </c>
      <c r="H245" s="3">
        <v>0</v>
      </c>
      <c r="I245" s="3">
        <v>0</v>
      </c>
      <c r="J245" s="4">
        <v>550000</v>
      </c>
      <c r="K245" s="4">
        <v>550000</v>
      </c>
      <c r="L245" s="3" t="s">
        <v>17</v>
      </c>
      <c r="M245" s="3" t="s">
        <v>234</v>
      </c>
      <c r="N245" s="2"/>
      <c r="O245" s="2"/>
      <c r="P245" s="3" t="str">
        <f>IF(OR(COUNTIF('ثبت لیبل'!$B$11:$B$1010,TRIM(LEFT(C245,FIND("-",C245&amp;"-")-1)))&gt;0,COUNTIF('ثبت لیبل'!$B$11:$B$1010,SUBSTITUTE(TRIM(LEFT(C245,FIND("-",C245&amp;"-")-1)),"GD",""))&gt;0),"موجود","")</f>
        <v/>
      </c>
    </row>
    <row r="246" spans="1:16">
      <c r="A246" s="3">
        <v>245</v>
      </c>
      <c r="B246" s="3" t="s">
        <v>232</v>
      </c>
      <c r="C246" s="3" t="s">
        <v>276</v>
      </c>
      <c r="D246" s="3">
        <v>0.04</v>
      </c>
      <c r="E246" s="3">
        <v>750</v>
      </c>
      <c r="F246" s="3">
        <v>0</v>
      </c>
      <c r="G246" s="3">
        <v>0</v>
      </c>
      <c r="H246" s="3">
        <v>0</v>
      </c>
      <c r="I246" s="3">
        <v>0</v>
      </c>
      <c r="J246" s="4">
        <v>550000</v>
      </c>
      <c r="K246" s="4">
        <v>550000</v>
      </c>
      <c r="L246" s="3" t="s">
        <v>17</v>
      </c>
      <c r="M246" s="3" t="s">
        <v>234</v>
      </c>
      <c r="N246" s="2"/>
      <c r="O246" s="2"/>
      <c r="P246" s="3" t="str">
        <f>IF(OR(COUNTIF('ثبت لیبل'!$B$11:$B$1010,TRIM(LEFT(C246,FIND("-",C246&amp;"-")-1)))&gt;0,COUNTIF('ثبت لیبل'!$B$11:$B$1010,SUBSTITUTE(TRIM(LEFT(C246,FIND("-",C246&amp;"-")-1)),"GD",""))&gt;0),"موجود","")</f>
        <v/>
      </c>
    </row>
    <row r="247" spans="1:16">
      <c r="A247" s="3">
        <v>246</v>
      </c>
      <c r="B247" s="3" t="s">
        <v>232</v>
      </c>
      <c r="C247" s="3" t="s">
        <v>277</v>
      </c>
      <c r="D247" s="3">
        <v>7.0000000000000007E-2</v>
      </c>
      <c r="E247" s="3">
        <v>750</v>
      </c>
      <c r="F247" s="3">
        <v>0</v>
      </c>
      <c r="G247" s="3">
        <v>0</v>
      </c>
      <c r="H247" s="3">
        <v>0</v>
      </c>
      <c r="I247" s="3">
        <v>0</v>
      </c>
      <c r="J247" s="4">
        <v>550000</v>
      </c>
      <c r="K247" s="4">
        <v>550000</v>
      </c>
      <c r="L247" s="3" t="s">
        <v>17</v>
      </c>
      <c r="M247" s="3" t="s">
        <v>234</v>
      </c>
      <c r="N247" s="2"/>
      <c r="O247" s="2"/>
      <c r="P247" s="3" t="str">
        <f>IF(OR(COUNTIF('ثبت لیبل'!$B$11:$B$1010,TRIM(LEFT(C247,FIND("-",C247&amp;"-")-1)))&gt;0,COUNTIF('ثبت لیبل'!$B$11:$B$1010,SUBSTITUTE(TRIM(LEFT(C247,FIND("-",C247&amp;"-")-1)),"GD",""))&gt;0),"موجود","")</f>
        <v/>
      </c>
    </row>
    <row r="248" spans="1:16">
      <c r="A248" s="3">
        <v>247</v>
      </c>
      <c r="B248" s="3" t="s">
        <v>232</v>
      </c>
      <c r="C248" s="3" t="s">
        <v>278</v>
      </c>
      <c r="D248" s="3">
        <v>7.0000000000000007E-2</v>
      </c>
      <c r="E248" s="3">
        <v>750</v>
      </c>
      <c r="F248" s="3">
        <v>0</v>
      </c>
      <c r="G248" s="3">
        <v>0</v>
      </c>
      <c r="H248" s="3">
        <v>0</v>
      </c>
      <c r="I248" s="3">
        <v>0</v>
      </c>
      <c r="J248" s="4">
        <v>550000</v>
      </c>
      <c r="K248" s="4">
        <v>550000</v>
      </c>
      <c r="L248" s="3" t="s">
        <v>17</v>
      </c>
      <c r="M248" s="3" t="s">
        <v>234</v>
      </c>
      <c r="N248" s="2"/>
      <c r="O248" s="2"/>
      <c r="P248" s="3" t="str">
        <f>IF(OR(COUNTIF('ثبت لیبل'!$B$11:$B$1010,TRIM(LEFT(C248,FIND("-",C248&amp;"-")-1)))&gt;0,COUNTIF('ثبت لیبل'!$B$11:$B$1010,SUBSTITUTE(TRIM(LEFT(C248,FIND("-",C248&amp;"-")-1)),"GD",""))&gt;0),"موجود","")</f>
        <v/>
      </c>
    </row>
    <row r="249" spans="1:16">
      <c r="A249" s="3">
        <v>248</v>
      </c>
      <c r="B249" s="3" t="s">
        <v>232</v>
      </c>
      <c r="C249" s="3" t="s">
        <v>279</v>
      </c>
      <c r="D249" s="3">
        <v>7.0000000000000007E-2</v>
      </c>
      <c r="E249" s="3">
        <v>750</v>
      </c>
      <c r="F249" s="3">
        <v>0</v>
      </c>
      <c r="G249" s="3">
        <v>0</v>
      </c>
      <c r="H249" s="3">
        <v>0</v>
      </c>
      <c r="I249" s="3">
        <v>0</v>
      </c>
      <c r="J249" s="4">
        <v>550000</v>
      </c>
      <c r="K249" s="4">
        <v>550000</v>
      </c>
      <c r="L249" s="3" t="s">
        <v>17</v>
      </c>
      <c r="M249" s="3" t="s">
        <v>234</v>
      </c>
      <c r="N249" s="2"/>
      <c r="O249" s="2"/>
      <c r="P249" s="3" t="str">
        <f>IF(OR(COUNTIF('ثبت لیبل'!$B$11:$B$1010,TRIM(LEFT(C249,FIND("-",C249&amp;"-")-1)))&gt;0,COUNTIF('ثبت لیبل'!$B$11:$B$1010,SUBSTITUTE(TRIM(LEFT(C249,FIND("-",C249&amp;"-")-1)),"GD",""))&gt;0),"موجود","")</f>
        <v/>
      </c>
    </row>
    <row r="250" spans="1:16">
      <c r="A250" s="3">
        <v>249</v>
      </c>
      <c r="B250" s="3" t="s">
        <v>232</v>
      </c>
      <c r="C250" s="3" t="s">
        <v>280</v>
      </c>
      <c r="D250" s="3">
        <v>7.0000000000000007E-2</v>
      </c>
      <c r="E250" s="3">
        <v>750</v>
      </c>
      <c r="F250" s="3">
        <v>0</v>
      </c>
      <c r="G250" s="3">
        <v>0</v>
      </c>
      <c r="H250" s="3">
        <v>0</v>
      </c>
      <c r="I250" s="3">
        <v>0</v>
      </c>
      <c r="J250" s="4">
        <v>550000</v>
      </c>
      <c r="K250" s="4">
        <v>550000</v>
      </c>
      <c r="L250" s="3" t="s">
        <v>17</v>
      </c>
      <c r="M250" s="3" t="s">
        <v>234</v>
      </c>
      <c r="N250" s="2"/>
      <c r="O250" s="2"/>
      <c r="P250" s="3" t="str">
        <f>IF(OR(COUNTIF('ثبت لیبل'!$B$11:$B$1010,TRIM(LEFT(C250,FIND("-",C250&amp;"-")-1)))&gt;0,COUNTIF('ثبت لیبل'!$B$11:$B$1010,SUBSTITUTE(TRIM(LEFT(C250,FIND("-",C250&amp;"-")-1)),"GD",""))&gt;0),"موجود","")</f>
        <v/>
      </c>
    </row>
    <row r="251" spans="1:16">
      <c r="A251" s="3">
        <v>250</v>
      </c>
      <c r="B251" s="3" t="s">
        <v>232</v>
      </c>
      <c r="C251" s="3" t="s">
        <v>281</v>
      </c>
      <c r="D251" s="3">
        <v>7.0000000000000007E-2</v>
      </c>
      <c r="E251" s="3">
        <v>750</v>
      </c>
      <c r="F251" s="3">
        <v>0</v>
      </c>
      <c r="G251" s="3">
        <v>0</v>
      </c>
      <c r="H251" s="3">
        <v>0</v>
      </c>
      <c r="I251" s="3">
        <v>0</v>
      </c>
      <c r="J251" s="4">
        <v>550000</v>
      </c>
      <c r="K251" s="4">
        <v>550000</v>
      </c>
      <c r="L251" s="3" t="s">
        <v>17</v>
      </c>
      <c r="M251" s="3" t="s">
        <v>234</v>
      </c>
      <c r="N251" s="2"/>
      <c r="O251" s="2"/>
      <c r="P251" s="3" t="str">
        <f>IF(OR(COUNTIF('ثبت لیبل'!$B$11:$B$1010,TRIM(LEFT(C251,FIND("-",C251&amp;"-")-1)))&gt;0,COUNTIF('ثبت لیبل'!$B$11:$B$1010,SUBSTITUTE(TRIM(LEFT(C251,FIND("-",C251&amp;"-")-1)),"GD",""))&gt;0),"موجود","")</f>
        <v/>
      </c>
    </row>
    <row r="252" spans="1:16">
      <c r="A252" s="3">
        <v>251</v>
      </c>
      <c r="B252" s="3" t="s">
        <v>232</v>
      </c>
      <c r="C252" s="3" t="s">
        <v>282</v>
      </c>
      <c r="D252" s="3">
        <v>7.0000000000000007E-2</v>
      </c>
      <c r="E252" s="3">
        <v>750</v>
      </c>
      <c r="F252" s="3">
        <v>0</v>
      </c>
      <c r="G252" s="3">
        <v>0</v>
      </c>
      <c r="H252" s="3">
        <v>0</v>
      </c>
      <c r="I252" s="3">
        <v>0</v>
      </c>
      <c r="J252" s="4">
        <v>550000</v>
      </c>
      <c r="K252" s="4">
        <v>550000</v>
      </c>
      <c r="L252" s="3" t="s">
        <v>17</v>
      </c>
      <c r="M252" s="3" t="s">
        <v>234</v>
      </c>
      <c r="N252" s="2"/>
      <c r="O252" s="2"/>
      <c r="P252" s="3" t="str">
        <f>IF(OR(COUNTIF('ثبت لیبل'!$B$11:$B$1010,TRIM(LEFT(C252,FIND("-",C252&amp;"-")-1)))&gt;0,COUNTIF('ثبت لیبل'!$B$11:$B$1010,SUBSTITUTE(TRIM(LEFT(C252,FIND("-",C252&amp;"-")-1)),"GD",""))&gt;0),"موجود","")</f>
        <v/>
      </c>
    </row>
    <row r="253" spans="1:16">
      <c r="A253" s="3">
        <v>252</v>
      </c>
      <c r="B253" s="3" t="s">
        <v>232</v>
      </c>
      <c r="C253" s="3" t="s">
        <v>283</v>
      </c>
      <c r="D253" s="3">
        <v>7.0000000000000007E-2</v>
      </c>
      <c r="E253" s="3">
        <v>750</v>
      </c>
      <c r="F253" s="3">
        <v>0</v>
      </c>
      <c r="G253" s="3">
        <v>0</v>
      </c>
      <c r="H253" s="3">
        <v>0</v>
      </c>
      <c r="I253" s="3">
        <v>0</v>
      </c>
      <c r="J253" s="4">
        <v>550000</v>
      </c>
      <c r="K253" s="4">
        <v>550000</v>
      </c>
      <c r="L253" s="3" t="s">
        <v>17</v>
      </c>
      <c r="M253" s="3" t="s">
        <v>234</v>
      </c>
      <c r="N253" s="2"/>
      <c r="O253" s="2"/>
      <c r="P253" s="3" t="str">
        <f>IF(OR(COUNTIF('ثبت لیبل'!$B$11:$B$1010,TRIM(LEFT(C253,FIND("-",C253&amp;"-")-1)))&gt;0,COUNTIF('ثبت لیبل'!$B$11:$B$1010,SUBSTITUTE(TRIM(LEFT(C253,FIND("-",C253&amp;"-")-1)),"GD",""))&gt;0),"موجود","")</f>
        <v/>
      </c>
    </row>
    <row r="254" spans="1:16">
      <c r="A254" s="3">
        <v>253</v>
      </c>
      <c r="B254" s="3" t="s">
        <v>232</v>
      </c>
      <c r="C254" s="3" t="s">
        <v>284</v>
      </c>
      <c r="D254" s="3">
        <v>7.0000000000000007E-2</v>
      </c>
      <c r="E254" s="3">
        <v>750</v>
      </c>
      <c r="F254" s="3">
        <v>0</v>
      </c>
      <c r="G254" s="3">
        <v>0</v>
      </c>
      <c r="H254" s="3">
        <v>0</v>
      </c>
      <c r="I254" s="3">
        <v>0</v>
      </c>
      <c r="J254" s="4">
        <v>550000</v>
      </c>
      <c r="K254" s="4">
        <v>550000</v>
      </c>
      <c r="L254" s="3" t="s">
        <v>17</v>
      </c>
      <c r="M254" s="3" t="s">
        <v>234</v>
      </c>
      <c r="N254" s="2"/>
      <c r="O254" s="2"/>
      <c r="P254" s="3" t="str">
        <f>IF(OR(COUNTIF('ثبت لیبل'!$B$11:$B$1010,TRIM(LEFT(C254,FIND("-",C254&amp;"-")-1)))&gt;0,COUNTIF('ثبت لیبل'!$B$11:$B$1010,SUBSTITUTE(TRIM(LEFT(C254,FIND("-",C254&amp;"-")-1)),"GD",""))&gt;0),"موجود","")</f>
        <v/>
      </c>
    </row>
    <row r="255" spans="1:16">
      <c r="A255" s="3">
        <v>254</v>
      </c>
      <c r="B255" s="3" t="s">
        <v>232</v>
      </c>
      <c r="C255" s="3" t="s">
        <v>285</v>
      </c>
      <c r="D255" s="3">
        <v>7.0000000000000007E-2</v>
      </c>
      <c r="E255" s="3">
        <v>750</v>
      </c>
      <c r="F255" s="3">
        <v>0</v>
      </c>
      <c r="G255" s="3">
        <v>0</v>
      </c>
      <c r="H255" s="3">
        <v>0</v>
      </c>
      <c r="I255" s="3">
        <v>0</v>
      </c>
      <c r="J255" s="4">
        <v>550000</v>
      </c>
      <c r="K255" s="4">
        <v>550000</v>
      </c>
      <c r="L255" s="3" t="s">
        <v>17</v>
      </c>
      <c r="M255" s="3" t="s">
        <v>234</v>
      </c>
      <c r="N255" s="2"/>
      <c r="O255" s="2"/>
      <c r="P255" s="3" t="str">
        <f>IF(OR(COUNTIF('ثبت لیبل'!$B$11:$B$1010,TRIM(LEFT(C255,FIND("-",C255&amp;"-")-1)))&gt;0,COUNTIF('ثبت لیبل'!$B$11:$B$1010,SUBSTITUTE(TRIM(LEFT(C255,FIND("-",C255&amp;"-")-1)),"GD",""))&gt;0),"موجود","")</f>
        <v/>
      </c>
    </row>
    <row r="256" spans="1:16">
      <c r="A256" s="3">
        <v>255</v>
      </c>
      <c r="B256" s="3" t="s">
        <v>232</v>
      </c>
      <c r="C256" s="3" t="s">
        <v>286</v>
      </c>
      <c r="D256" s="3">
        <v>7.0000000000000007E-2</v>
      </c>
      <c r="E256" s="3">
        <v>750</v>
      </c>
      <c r="F256" s="3">
        <v>0</v>
      </c>
      <c r="G256" s="3">
        <v>0</v>
      </c>
      <c r="H256" s="3">
        <v>0</v>
      </c>
      <c r="I256" s="3">
        <v>0</v>
      </c>
      <c r="J256" s="4">
        <v>550000</v>
      </c>
      <c r="K256" s="4">
        <v>550000</v>
      </c>
      <c r="L256" s="3" t="s">
        <v>17</v>
      </c>
      <c r="M256" s="3" t="s">
        <v>234</v>
      </c>
      <c r="N256" s="2"/>
      <c r="O256" s="2"/>
      <c r="P256" s="3" t="str">
        <f>IF(OR(COUNTIF('ثبت لیبل'!$B$11:$B$1010,TRIM(LEFT(C256,FIND("-",C256&amp;"-")-1)))&gt;0,COUNTIF('ثبت لیبل'!$B$11:$B$1010,SUBSTITUTE(TRIM(LEFT(C256,FIND("-",C256&amp;"-")-1)),"GD",""))&gt;0),"موجود","")</f>
        <v/>
      </c>
    </row>
    <row r="257" spans="1:16">
      <c r="A257" s="3">
        <v>256</v>
      </c>
      <c r="B257" s="3" t="s">
        <v>232</v>
      </c>
      <c r="C257" s="3" t="s">
        <v>287</v>
      </c>
      <c r="D257" s="3">
        <v>0.2</v>
      </c>
      <c r="E257" s="3">
        <v>750</v>
      </c>
      <c r="F257" s="3">
        <v>0</v>
      </c>
      <c r="G257" s="3">
        <v>0</v>
      </c>
      <c r="H257" s="3">
        <v>0</v>
      </c>
      <c r="I257" s="3">
        <v>0</v>
      </c>
      <c r="J257" s="4">
        <v>550000</v>
      </c>
      <c r="K257" s="4">
        <v>550000</v>
      </c>
      <c r="L257" s="3" t="s">
        <v>17</v>
      </c>
      <c r="M257" s="3" t="s">
        <v>234</v>
      </c>
      <c r="N257" s="2"/>
      <c r="O257" s="2"/>
      <c r="P257" s="3" t="str">
        <f>IF(OR(COUNTIF('ثبت لیبل'!$B$11:$B$1010,TRIM(LEFT(C257,FIND("-",C257&amp;"-")-1)))&gt;0,COUNTIF('ثبت لیبل'!$B$11:$B$1010,SUBSTITUTE(TRIM(LEFT(C257,FIND("-",C257&amp;"-")-1)),"GD",""))&gt;0),"موجود","")</f>
        <v/>
      </c>
    </row>
    <row r="258" spans="1:16">
      <c r="A258" s="3">
        <v>257</v>
      </c>
      <c r="B258" s="3" t="s">
        <v>232</v>
      </c>
      <c r="C258" s="3" t="s">
        <v>288</v>
      </c>
      <c r="D258" s="3">
        <v>0.2</v>
      </c>
      <c r="E258" s="3">
        <v>750</v>
      </c>
      <c r="F258" s="3">
        <v>0</v>
      </c>
      <c r="G258" s="3">
        <v>0</v>
      </c>
      <c r="H258" s="3">
        <v>0</v>
      </c>
      <c r="I258" s="3">
        <v>0</v>
      </c>
      <c r="J258" s="4">
        <v>550000</v>
      </c>
      <c r="K258" s="4">
        <v>550000</v>
      </c>
      <c r="L258" s="3" t="s">
        <v>17</v>
      </c>
      <c r="M258" s="3" t="s">
        <v>234</v>
      </c>
      <c r="N258" s="2"/>
      <c r="O258" s="2"/>
      <c r="P258" s="3" t="str">
        <f>IF(OR(COUNTIF('ثبت لیبل'!$B$11:$B$1010,TRIM(LEFT(C258,FIND("-",C258&amp;"-")-1)))&gt;0,COUNTIF('ثبت لیبل'!$B$11:$B$1010,SUBSTITUTE(TRIM(LEFT(C258,FIND("-",C258&amp;"-")-1)),"GD",""))&gt;0),"موجود","")</f>
        <v/>
      </c>
    </row>
    <row r="259" spans="1:16">
      <c r="A259" s="3">
        <v>258</v>
      </c>
      <c r="B259" s="3" t="s">
        <v>232</v>
      </c>
      <c r="C259" s="3" t="s">
        <v>289</v>
      </c>
      <c r="D259" s="3">
        <v>0.2</v>
      </c>
      <c r="E259" s="3">
        <v>750</v>
      </c>
      <c r="F259" s="3">
        <v>0</v>
      </c>
      <c r="G259" s="3">
        <v>0</v>
      </c>
      <c r="H259" s="3">
        <v>0</v>
      </c>
      <c r="I259" s="3">
        <v>0</v>
      </c>
      <c r="J259" s="4">
        <v>550000</v>
      </c>
      <c r="K259" s="4">
        <v>550000</v>
      </c>
      <c r="L259" s="3" t="s">
        <v>17</v>
      </c>
      <c r="M259" s="3" t="s">
        <v>234</v>
      </c>
      <c r="N259" s="2"/>
      <c r="O259" s="2"/>
      <c r="P259" s="3" t="str">
        <f>IF(OR(COUNTIF('ثبت لیبل'!$B$11:$B$1010,TRIM(LEFT(C259,FIND("-",C259&amp;"-")-1)))&gt;0,COUNTIF('ثبت لیبل'!$B$11:$B$1010,SUBSTITUTE(TRIM(LEFT(C259,FIND("-",C259&amp;"-")-1)),"GD",""))&gt;0),"موجود","")</f>
        <v/>
      </c>
    </row>
    <row r="260" spans="1:16">
      <c r="A260" s="3">
        <v>259</v>
      </c>
      <c r="B260" s="3" t="s">
        <v>232</v>
      </c>
      <c r="C260" s="3" t="s">
        <v>290</v>
      </c>
      <c r="D260" s="3">
        <v>0.2</v>
      </c>
      <c r="E260" s="3">
        <v>750</v>
      </c>
      <c r="F260" s="3">
        <v>0</v>
      </c>
      <c r="G260" s="3">
        <v>0</v>
      </c>
      <c r="H260" s="3">
        <v>0</v>
      </c>
      <c r="I260" s="3">
        <v>0</v>
      </c>
      <c r="J260" s="4">
        <v>550000</v>
      </c>
      <c r="K260" s="4">
        <v>550000</v>
      </c>
      <c r="L260" s="3" t="s">
        <v>17</v>
      </c>
      <c r="M260" s="3" t="s">
        <v>234</v>
      </c>
      <c r="N260" s="2"/>
      <c r="O260" s="2"/>
      <c r="P260" s="3" t="str">
        <f>IF(OR(COUNTIF('ثبت لیبل'!$B$11:$B$1010,TRIM(LEFT(C260,FIND("-",C260&amp;"-")-1)))&gt;0,COUNTIF('ثبت لیبل'!$B$11:$B$1010,SUBSTITUTE(TRIM(LEFT(C260,FIND("-",C260&amp;"-")-1)),"GD",""))&gt;0),"موجود","")</f>
        <v/>
      </c>
    </row>
    <row r="261" spans="1:16">
      <c r="A261" s="3">
        <v>260</v>
      </c>
      <c r="B261" s="3" t="s">
        <v>232</v>
      </c>
      <c r="C261" s="3" t="s">
        <v>291</v>
      </c>
      <c r="D261" s="3">
        <v>0.1</v>
      </c>
      <c r="E261" s="3">
        <v>750</v>
      </c>
      <c r="F261" s="3">
        <v>0</v>
      </c>
      <c r="G261" s="3">
        <v>0</v>
      </c>
      <c r="H261" s="3">
        <v>0</v>
      </c>
      <c r="I261" s="3">
        <v>0</v>
      </c>
      <c r="J261" s="4">
        <v>550000</v>
      </c>
      <c r="K261" s="4">
        <v>550000</v>
      </c>
      <c r="L261" s="3" t="s">
        <v>17</v>
      </c>
      <c r="M261" s="3" t="s">
        <v>234</v>
      </c>
      <c r="N261" s="2"/>
      <c r="O261" s="2"/>
      <c r="P261" s="3" t="str">
        <f>IF(OR(COUNTIF('ثبت لیبل'!$B$11:$B$1010,TRIM(LEFT(C261,FIND("-",C261&amp;"-")-1)))&gt;0,COUNTIF('ثبت لیبل'!$B$11:$B$1010,SUBSTITUTE(TRIM(LEFT(C261,FIND("-",C261&amp;"-")-1)),"GD",""))&gt;0),"موجود","")</f>
        <v/>
      </c>
    </row>
    <row r="262" spans="1:16">
      <c r="A262" s="3">
        <v>261</v>
      </c>
      <c r="B262" s="3" t="s">
        <v>232</v>
      </c>
      <c r="C262" s="3" t="s">
        <v>292</v>
      </c>
      <c r="D262" s="3">
        <v>0.1</v>
      </c>
      <c r="E262" s="3">
        <v>750</v>
      </c>
      <c r="F262" s="3">
        <v>0</v>
      </c>
      <c r="G262" s="3">
        <v>0</v>
      </c>
      <c r="H262" s="3">
        <v>0</v>
      </c>
      <c r="I262" s="3">
        <v>0</v>
      </c>
      <c r="J262" s="4">
        <v>550000</v>
      </c>
      <c r="K262" s="4">
        <v>550000</v>
      </c>
      <c r="L262" s="3" t="s">
        <v>17</v>
      </c>
      <c r="M262" s="3" t="s">
        <v>234</v>
      </c>
      <c r="N262" s="2"/>
      <c r="O262" s="2"/>
      <c r="P262" s="3" t="str">
        <f>IF(OR(COUNTIF('ثبت لیبل'!$B$11:$B$1010,TRIM(LEFT(C262,FIND("-",C262&amp;"-")-1)))&gt;0,COUNTIF('ثبت لیبل'!$B$11:$B$1010,SUBSTITUTE(TRIM(LEFT(C262,FIND("-",C262&amp;"-")-1)),"GD",""))&gt;0),"موجود","")</f>
        <v/>
      </c>
    </row>
    <row r="263" spans="1:16">
      <c r="A263" s="3">
        <v>262</v>
      </c>
      <c r="B263" s="3" t="s">
        <v>232</v>
      </c>
      <c r="C263" s="3" t="s">
        <v>293</v>
      </c>
      <c r="D263" s="3">
        <v>0.1</v>
      </c>
      <c r="E263" s="3">
        <v>750</v>
      </c>
      <c r="F263" s="3">
        <v>0</v>
      </c>
      <c r="G263" s="3">
        <v>0</v>
      </c>
      <c r="H263" s="3">
        <v>0</v>
      </c>
      <c r="I263" s="3">
        <v>0</v>
      </c>
      <c r="J263" s="4">
        <v>550000</v>
      </c>
      <c r="K263" s="4">
        <v>550000</v>
      </c>
      <c r="L263" s="3" t="s">
        <v>17</v>
      </c>
      <c r="M263" s="3" t="s">
        <v>234</v>
      </c>
      <c r="N263" s="2"/>
      <c r="O263" s="2"/>
      <c r="P263" s="3" t="str">
        <f>IF(OR(COUNTIF('ثبت لیبل'!$B$11:$B$1010,TRIM(LEFT(C263,FIND("-",C263&amp;"-")-1)))&gt;0,COUNTIF('ثبت لیبل'!$B$11:$B$1010,SUBSTITUTE(TRIM(LEFT(C263,FIND("-",C263&amp;"-")-1)),"GD",""))&gt;0),"موجود","")</f>
        <v/>
      </c>
    </row>
    <row r="264" spans="1:16">
      <c r="A264" s="3">
        <v>263</v>
      </c>
      <c r="B264" s="3" t="s">
        <v>232</v>
      </c>
      <c r="C264" s="3" t="s">
        <v>294</v>
      </c>
      <c r="D264" s="3">
        <v>0.1</v>
      </c>
      <c r="E264" s="3">
        <v>750</v>
      </c>
      <c r="F264" s="3">
        <v>0</v>
      </c>
      <c r="G264" s="3">
        <v>0</v>
      </c>
      <c r="H264" s="3">
        <v>0</v>
      </c>
      <c r="I264" s="3">
        <v>0</v>
      </c>
      <c r="J264" s="4">
        <v>550000</v>
      </c>
      <c r="K264" s="4">
        <v>550000</v>
      </c>
      <c r="L264" s="3" t="s">
        <v>17</v>
      </c>
      <c r="M264" s="3" t="s">
        <v>234</v>
      </c>
      <c r="N264" s="2"/>
      <c r="O264" s="2"/>
      <c r="P264" s="3" t="str">
        <f>IF(OR(COUNTIF('ثبت لیبل'!$B$11:$B$1010,TRIM(LEFT(C264,FIND("-",C264&amp;"-")-1)))&gt;0,COUNTIF('ثبت لیبل'!$B$11:$B$1010,SUBSTITUTE(TRIM(LEFT(C264,FIND("-",C264&amp;"-")-1)),"GD",""))&gt;0),"موجود","")</f>
        <v/>
      </c>
    </row>
    <row r="265" spans="1:16">
      <c r="A265" s="3">
        <v>264</v>
      </c>
      <c r="B265" s="3" t="s">
        <v>232</v>
      </c>
      <c r="C265" s="3" t="s">
        <v>295</v>
      </c>
      <c r="D265" s="3">
        <v>0.1</v>
      </c>
      <c r="E265" s="3">
        <v>750</v>
      </c>
      <c r="F265" s="3">
        <v>0</v>
      </c>
      <c r="G265" s="3">
        <v>0</v>
      </c>
      <c r="H265" s="3">
        <v>0</v>
      </c>
      <c r="I265" s="3">
        <v>0</v>
      </c>
      <c r="J265" s="4">
        <v>550000</v>
      </c>
      <c r="K265" s="4">
        <v>550000</v>
      </c>
      <c r="L265" s="3" t="s">
        <v>17</v>
      </c>
      <c r="M265" s="3" t="s">
        <v>234</v>
      </c>
      <c r="N265" s="2"/>
      <c r="O265" s="2"/>
      <c r="P265" s="3" t="str">
        <f>IF(OR(COUNTIF('ثبت لیبل'!$B$11:$B$1010,TRIM(LEFT(C265,FIND("-",C265&amp;"-")-1)))&gt;0,COUNTIF('ثبت لیبل'!$B$11:$B$1010,SUBSTITUTE(TRIM(LEFT(C265,FIND("-",C265&amp;"-")-1)),"GD",""))&gt;0),"موجود","")</f>
        <v/>
      </c>
    </row>
    <row r="266" spans="1:16">
      <c r="A266" s="3">
        <v>265</v>
      </c>
      <c r="B266" s="3" t="s">
        <v>232</v>
      </c>
      <c r="C266" s="3" t="s">
        <v>296</v>
      </c>
      <c r="D266" s="3">
        <v>0.1</v>
      </c>
      <c r="E266" s="3">
        <v>750</v>
      </c>
      <c r="F266" s="3">
        <v>0</v>
      </c>
      <c r="G266" s="3">
        <v>0</v>
      </c>
      <c r="H266" s="3">
        <v>0</v>
      </c>
      <c r="I266" s="3">
        <v>0</v>
      </c>
      <c r="J266" s="4">
        <v>550000</v>
      </c>
      <c r="K266" s="4">
        <v>550000</v>
      </c>
      <c r="L266" s="3" t="s">
        <v>17</v>
      </c>
      <c r="M266" s="3" t="s">
        <v>234</v>
      </c>
      <c r="N266" s="2"/>
      <c r="O266" s="2"/>
      <c r="P266" s="3" t="str">
        <f>IF(OR(COUNTIF('ثبت لیبل'!$B$11:$B$1010,TRIM(LEFT(C266,FIND("-",C266&amp;"-")-1)))&gt;0,COUNTIF('ثبت لیبل'!$B$11:$B$1010,SUBSTITUTE(TRIM(LEFT(C266,FIND("-",C266&amp;"-")-1)),"GD",""))&gt;0),"موجود","")</f>
        <v/>
      </c>
    </row>
    <row r="267" spans="1:16">
      <c r="A267" s="3">
        <v>266</v>
      </c>
      <c r="B267" s="3" t="s">
        <v>232</v>
      </c>
      <c r="C267" s="3" t="s">
        <v>297</v>
      </c>
      <c r="D267" s="3">
        <v>0.1</v>
      </c>
      <c r="E267" s="3">
        <v>750</v>
      </c>
      <c r="F267" s="3">
        <v>0</v>
      </c>
      <c r="G267" s="3">
        <v>0</v>
      </c>
      <c r="H267" s="3">
        <v>0</v>
      </c>
      <c r="I267" s="3">
        <v>0</v>
      </c>
      <c r="J267" s="4">
        <v>550000</v>
      </c>
      <c r="K267" s="4">
        <v>550000</v>
      </c>
      <c r="L267" s="3" t="s">
        <v>17</v>
      </c>
      <c r="M267" s="3" t="s">
        <v>234</v>
      </c>
      <c r="N267" s="2"/>
      <c r="O267" s="2"/>
      <c r="P267" s="3" t="str">
        <f>IF(OR(COUNTIF('ثبت لیبل'!$B$11:$B$1010,TRIM(LEFT(C267,FIND("-",C267&amp;"-")-1)))&gt;0,COUNTIF('ثبت لیبل'!$B$11:$B$1010,SUBSTITUTE(TRIM(LEFT(C267,FIND("-",C267&amp;"-")-1)),"GD",""))&gt;0),"موجود","")</f>
        <v/>
      </c>
    </row>
    <row r="268" spans="1:16">
      <c r="A268" s="3">
        <v>267</v>
      </c>
      <c r="B268" s="3" t="s">
        <v>232</v>
      </c>
      <c r="C268" s="3" t="s">
        <v>298</v>
      </c>
      <c r="D268" s="3">
        <v>0.1</v>
      </c>
      <c r="E268" s="3">
        <v>750</v>
      </c>
      <c r="F268" s="3">
        <v>0</v>
      </c>
      <c r="G268" s="3">
        <v>0</v>
      </c>
      <c r="H268" s="3">
        <v>0</v>
      </c>
      <c r="I268" s="3">
        <v>0</v>
      </c>
      <c r="J268" s="4">
        <v>550000</v>
      </c>
      <c r="K268" s="4">
        <v>550000</v>
      </c>
      <c r="L268" s="3" t="s">
        <v>17</v>
      </c>
      <c r="M268" s="3" t="s">
        <v>234</v>
      </c>
      <c r="N268" s="2"/>
      <c r="O268" s="2"/>
      <c r="P268" s="3" t="str">
        <f>IF(OR(COUNTIF('ثبت لیبل'!$B$11:$B$1010,TRIM(LEFT(C268,FIND("-",C268&amp;"-")-1)))&gt;0,COUNTIF('ثبت لیبل'!$B$11:$B$1010,SUBSTITUTE(TRIM(LEFT(C268,FIND("-",C268&amp;"-")-1)),"GD",""))&gt;0),"موجود","")</f>
        <v/>
      </c>
    </row>
    <row r="269" spans="1:16">
      <c r="A269" s="3">
        <v>268</v>
      </c>
      <c r="B269" s="3" t="s">
        <v>232</v>
      </c>
      <c r="C269" s="3" t="s">
        <v>299</v>
      </c>
      <c r="D269" s="3">
        <v>0.25</v>
      </c>
      <c r="E269" s="3">
        <v>750</v>
      </c>
      <c r="F269" s="3">
        <v>0</v>
      </c>
      <c r="G269" s="3">
        <v>0</v>
      </c>
      <c r="H269" s="3">
        <v>0</v>
      </c>
      <c r="I269" s="3">
        <v>0</v>
      </c>
      <c r="J269" s="4">
        <v>550000</v>
      </c>
      <c r="K269" s="4">
        <v>550000</v>
      </c>
      <c r="L269" s="3" t="s">
        <v>17</v>
      </c>
      <c r="M269" s="3" t="s">
        <v>234</v>
      </c>
      <c r="N269" s="2"/>
      <c r="O269" s="2"/>
      <c r="P269" s="3" t="str">
        <f>IF(OR(COUNTIF('ثبت لیبل'!$B$11:$B$1010,TRIM(LEFT(C269,FIND("-",C269&amp;"-")-1)))&gt;0,COUNTIF('ثبت لیبل'!$B$11:$B$1010,SUBSTITUTE(TRIM(LEFT(C269,FIND("-",C269&amp;"-")-1)),"GD",""))&gt;0),"موجود","")</f>
        <v/>
      </c>
    </row>
    <row r="270" spans="1:16">
      <c r="A270" s="3">
        <v>269</v>
      </c>
      <c r="B270" s="3" t="s">
        <v>232</v>
      </c>
      <c r="C270" s="3" t="s">
        <v>300</v>
      </c>
      <c r="D270" s="3">
        <v>0.03</v>
      </c>
      <c r="E270" s="3">
        <v>750</v>
      </c>
      <c r="F270" s="3">
        <v>0</v>
      </c>
      <c r="G270" s="3">
        <v>0</v>
      </c>
      <c r="H270" s="3">
        <v>0</v>
      </c>
      <c r="I270" s="3">
        <v>0</v>
      </c>
      <c r="J270" s="4">
        <v>550000</v>
      </c>
      <c r="K270" s="4">
        <v>550000</v>
      </c>
      <c r="L270" s="3" t="s">
        <v>17</v>
      </c>
      <c r="M270" s="3" t="s">
        <v>234</v>
      </c>
      <c r="N270" s="2"/>
      <c r="O270" s="2"/>
      <c r="P270" s="3" t="str">
        <f>IF(OR(COUNTIF('ثبت لیبل'!$B$11:$B$1010,TRIM(LEFT(C270,FIND("-",C270&amp;"-")-1)))&gt;0,COUNTIF('ثبت لیبل'!$B$11:$B$1010,SUBSTITUTE(TRIM(LEFT(C270,FIND("-",C270&amp;"-")-1)),"GD",""))&gt;0),"موجود","")</f>
        <v/>
      </c>
    </row>
    <row r="271" spans="1:16">
      <c r="A271" s="3">
        <v>270</v>
      </c>
      <c r="B271" s="3" t="s">
        <v>232</v>
      </c>
      <c r="C271" s="3" t="s">
        <v>301</v>
      </c>
      <c r="D271" s="3">
        <v>0.03</v>
      </c>
      <c r="E271" s="3">
        <v>750</v>
      </c>
      <c r="F271" s="3">
        <v>0</v>
      </c>
      <c r="G271" s="3">
        <v>0</v>
      </c>
      <c r="H271" s="3">
        <v>0</v>
      </c>
      <c r="I271" s="3">
        <v>0</v>
      </c>
      <c r="J271" s="4">
        <v>550000</v>
      </c>
      <c r="K271" s="4">
        <v>550000</v>
      </c>
      <c r="L271" s="3" t="s">
        <v>17</v>
      </c>
      <c r="M271" s="3" t="s">
        <v>234</v>
      </c>
      <c r="N271" s="2"/>
      <c r="O271" s="2"/>
      <c r="P271" s="3" t="str">
        <f>IF(OR(COUNTIF('ثبت لیبل'!$B$11:$B$1010,TRIM(LEFT(C271,FIND("-",C271&amp;"-")-1)))&gt;0,COUNTIF('ثبت لیبل'!$B$11:$B$1010,SUBSTITUTE(TRIM(LEFT(C271,FIND("-",C271&amp;"-")-1)),"GD",""))&gt;0),"موجود","")</f>
        <v/>
      </c>
    </row>
    <row r="272" spans="1:16">
      <c r="A272" s="3">
        <v>271</v>
      </c>
      <c r="B272" s="3" t="s">
        <v>232</v>
      </c>
      <c r="C272" s="3" t="s">
        <v>302</v>
      </c>
      <c r="D272" s="3">
        <v>0.25</v>
      </c>
      <c r="E272" s="3">
        <v>750</v>
      </c>
      <c r="F272" s="3">
        <v>0</v>
      </c>
      <c r="G272" s="3">
        <v>0</v>
      </c>
      <c r="H272" s="3">
        <v>0</v>
      </c>
      <c r="I272" s="3">
        <v>0</v>
      </c>
      <c r="J272" s="4">
        <v>550000</v>
      </c>
      <c r="K272" s="4">
        <v>550000</v>
      </c>
      <c r="L272" s="3" t="s">
        <v>17</v>
      </c>
      <c r="M272" s="3" t="s">
        <v>234</v>
      </c>
      <c r="N272" s="2"/>
      <c r="O272" s="2"/>
      <c r="P272" s="3" t="str">
        <f>IF(OR(COUNTIF('ثبت لیبل'!$B$11:$B$1010,TRIM(LEFT(C272,FIND("-",C272&amp;"-")-1)))&gt;0,COUNTIF('ثبت لیبل'!$B$11:$B$1010,SUBSTITUTE(TRIM(LEFT(C272,FIND("-",C272&amp;"-")-1)),"GD",""))&gt;0),"موجود","")</f>
        <v/>
      </c>
    </row>
    <row r="273" spans="1:16">
      <c r="A273" s="3">
        <v>272</v>
      </c>
      <c r="B273" s="3" t="s">
        <v>232</v>
      </c>
      <c r="C273" s="3" t="s">
        <v>303</v>
      </c>
      <c r="D273" s="3">
        <v>0.25</v>
      </c>
      <c r="E273" s="3">
        <v>750</v>
      </c>
      <c r="F273" s="3">
        <v>0</v>
      </c>
      <c r="G273" s="3">
        <v>0</v>
      </c>
      <c r="H273" s="3">
        <v>0</v>
      </c>
      <c r="I273" s="3">
        <v>0</v>
      </c>
      <c r="J273" s="4">
        <v>550000</v>
      </c>
      <c r="K273" s="4">
        <v>550000</v>
      </c>
      <c r="L273" s="3" t="s">
        <v>17</v>
      </c>
      <c r="M273" s="3" t="s">
        <v>234</v>
      </c>
      <c r="N273" s="2"/>
      <c r="O273" s="2"/>
      <c r="P273" s="3" t="str">
        <f>IF(OR(COUNTIF('ثبت لیبل'!$B$11:$B$1010,TRIM(LEFT(C273,FIND("-",C273&amp;"-")-1)))&gt;0,COUNTIF('ثبت لیبل'!$B$11:$B$1010,SUBSTITUTE(TRIM(LEFT(C273,FIND("-",C273&amp;"-")-1)),"GD",""))&gt;0),"موجود","")</f>
        <v/>
      </c>
    </row>
    <row r="274" spans="1:16">
      <c r="A274" s="3">
        <v>273</v>
      </c>
      <c r="B274" s="3" t="s">
        <v>232</v>
      </c>
      <c r="C274" s="3" t="s">
        <v>304</v>
      </c>
      <c r="D274" s="3">
        <v>0.25</v>
      </c>
      <c r="E274" s="3">
        <v>750</v>
      </c>
      <c r="F274" s="3">
        <v>0</v>
      </c>
      <c r="G274" s="3">
        <v>0</v>
      </c>
      <c r="H274" s="3">
        <v>0</v>
      </c>
      <c r="I274" s="3">
        <v>0</v>
      </c>
      <c r="J274" s="4">
        <v>550000</v>
      </c>
      <c r="K274" s="4">
        <v>550000</v>
      </c>
      <c r="L274" s="3" t="s">
        <v>17</v>
      </c>
      <c r="M274" s="3" t="s">
        <v>234</v>
      </c>
      <c r="N274" s="2"/>
      <c r="O274" s="2"/>
      <c r="P274" s="3" t="str">
        <f>IF(OR(COUNTIF('ثبت لیبل'!$B$11:$B$1010,TRIM(LEFT(C274,FIND("-",C274&amp;"-")-1)))&gt;0,COUNTIF('ثبت لیبل'!$B$11:$B$1010,SUBSTITUTE(TRIM(LEFT(C274,FIND("-",C274&amp;"-")-1)),"GD",""))&gt;0),"موجود","")</f>
        <v/>
      </c>
    </row>
    <row r="275" spans="1:16">
      <c r="A275" s="3">
        <v>274</v>
      </c>
      <c r="B275" s="3" t="s">
        <v>232</v>
      </c>
      <c r="C275" s="3" t="s">
        <v>305</v>
      </c>
      <c r="D275" s="3">
        <v>0.1</v>
      </c>
      <c r="E275" s="3">
        <v>750</v>
      </c>
      <c r="F275" s="3">
        <v>0</v>
      </c>
      <c r="G275" s="3">
        <v>0</v>
      </c>
      <c r="H275" s="3">
        <v>0</v>
      </c>
      <c r="I275" s="3">
        <v>0</v>
      </c>
      <c r="J275" s="4">
        <v>550000</v>
      </c>
      <c r="K275" s="4">
        <v>550000</v>
      </c>
      <c r="L275" s="3" t="s">
        <v>17</v>
      </c>
      <c r="M275" s="3" t="s">
        <v>234</v>
      </c>
      <c r="N275" s="2"/>
      <c r="O275" s="2"/>
      <c r="P275" s="3" t="str">
        <f>IF(OR(COUNTIF('ثبت لیبل'!$B$11:$B$1010,TRIM(LEFT(C275,FIND("-",C275&amp;"-")-1)))&gt;0,COUNTIF('ثبت لیبل'!$B$11:$B$1010,SUBSTITUTE(TRIM(LEFT(C275,FIND("-",C275&amp;"-")-1)),"GD",""))&gt;0),"موجود","")</f>
        <v/>
      </c>
    </row>
    <row r="276" spans="1:16">
      <c r="A276" s="3">
        <v>275</v>
      </c>
      <c r="B276" s="3" t="s">
        <v>232</v>
      </c>
      <c r="C276" s="3" t="s">
        <v>306</v>
      </c>
      <c r="D276" s="3">
        <v>0.1</v>
      </c>
      <c r="E276" s="3">
        <v>750</v>
      </c>
      <c r="F276" s="3">
        <v>0</v>
      </c>
      <c r="G276" s="3">
        <v>0</v>
      </c>
      <c r="H276" s="3">
        <v>0</v>
      </c>
      <c r="I276" s="3">
        <v>0</v>
      </c>
      <c r="J276" s="4">
        <v>550000</v>
      </c>
      <c r="K276" s="4">
        <v>550000</v>
      </c>
      <c r="L276" s="3" t="s">
        <v>17</v>
      </c>
      <c r="M276" s="3" t="s">
        <v>234</v>
      </c>
      <c r="N276" s="2"/>
      <c r="O276" s="2"/>
      <c r="P276" s="3" t="str">
        <f>IF(OR(COUNTIF('ثبت لیبل'!$B$11:$B$1010,TRIM(LEFT(C276,FIND("-",C276&amp;"-")-1)))&gt;0,COUNTIF('ثبت لیبل'!$B$11:$B$1010,SUBSTITUTE(TRIM(LEFT(C276,FIND("-",C276&amp;"-")-1)),"GD",""))&gt;0),"موجود","")</f>
        <v/>
      </c>
    </row>
    <row r="277" spans="1:16">
      <c r="A277" s="3">
        <v>276</v>
      </c>
      <c r="B277" s="3" t="s">
        <v>232</v>
      </c>
      <c r="C277" s="3" t="s">
        <v>307</v>
      </c>
      <c r="D277" s="3">
        <v>0.1</v>
      </c>
      <c r="E277" s="3">
        <v>750</v>
      </c>
      <c r="F277" s="3">
        <v>0</v>
      </c>
      <c r="G277" s="3">
        <v>0</v>
      </c>
      <c r="H277" s="3">
        <v>0</v>
      </c>
      <c r="I277" s="3">
        <v>0</v>
      </c>
      <c r="J277" s="4">
        <v>550000</v>
      </c>
      <c r="K277" s="4">
        <v>550000</v>
      </c>
      <c r="L277" s="3" t="s">
        <v>17</v>
      </c>
      <c r="M277" s="3" t="s">
        <v>234</v>
      </c>
      <c r="N277" s="2"/>
      <c r="O277" s="2"/>
      <c r="P277" s="3" t="str">
        <f>IF(OR(COUNTIF('ثبت لیبل'!$B$11:$B$1010,TRIM(LEFT(C277,FIND("-",C277&amp;"-")-1)))&gt;0,COUNTIF('ثبت لیبل'!$B$11:$B$1010,SUBSTITUTE(TRIM(LEFT(C277,FIND("-",C277&amp;"-")-1)),"GD",""))&gt;0),"موجود","")</f>
        <v/>
      </c>
    </row>
    <row r="278" spans="1:16">
      <c r="A278" s="3">
        <v>277</v>
      </c>
      <c r="B278" s="3" t="s">
        <v>232</v>
      </c>
      <c r="C278" s="3" t="s">
        <v>308</v>
      </c>
      <c r="D278" s="3">
        <v>0.2</v>
      </c>
      <c r="E278" s="3">
        <v>750</v>
      </c>
      <c r="F278" s="3">
        <v>0</v>
      </c>
      <c r="G278" s="3">
        <v>0</v>
      </c>
      <c r="H278" s="3">
        <v>0</v>
      </c>
      <c r="I278" s="3">
        <v>0</v>
      </c>
      <c r="J278" s="4">
        <v>550000</v>
      </c>
      <c r="K278" s="4">
        <v>550000</v>
      </c>
      <c r="L278" s="3" t="s">
        <v>17</v>
      </c>
      <c r="M278" s="3" t="s">
        <v>234</v>
      </c>
      <c r="N278" s="2"/>
      <c r="O278" s="2"/>
      <c r="P278" s="3" t="str">
        <f>IF(OR(COUNTIF('ثبت لیبل'!$B$11:$B$1010,TRIM(LEFT(C278,FIND("-",C278&amp;"-")-1)))&gt;0,COUNTIF('ثبت لیبل'!$B$11:$B$1010,SUBSTITUTE(TRIM(LEFT(C278,FIND("-",C278&amp;"-")-1)),"GD",""))&gt;0),"موجود","")</f>
        <v/>
      </c>
    </row>
    <row r="279" spans="1:16">
      <c r="A279" s="3">
        <v>278</v>
      </c>
      <c r="B279" s="3" t="s">
        <v>232</v>
      </c>
      <c r="C279" s="3" t="s">
        <v>309</v>
      </c>
      <c r="D279" s="3">
        <v>0.1</v>
      </c>
      <c r="E279" s="3">
        <v>750</v>
      </c>
      <c r="F279" s="3">
        <v>0</v>
      </c>
      <c r="G279" s="3">
        <v>0</v>
      </c>
      <c r="H279" s="3">
        <v>0</v>
      </c>
      <c r="I279" s="3">
        <v>0</v>
      </c>
      <c r="J279" s="4">
        <v>550000</v>
      </c>
      <c r="K279" s="4">
        <v>550000</v>
      </c>
      <c r="L279" s="3" t="s">
        <v>17</v>
      </c>
      <c r="M279" s="3" t="s">
        <v>234</v>
      </c>
      <c r="N279" s="2"/>
      <c r="O279" s="2"/>
      <c r="P279" s="3" t="str">
        <f>IF(OR(COUNTIF('ثبت لیبل'!$B$11:$B$1010,TRIM(LEFT(C279,FIND("-",C279&amp;"-")-1)))&gt;0,COUNTIF('ثبت لیبل'!$B$11:$B$1010,SUBSTITUTE(TRIM(LEFT(C279,FIND("-",C279&amp;"-")-1)),"GD",""))&gt;0),"موجود","")</f>
        <v/>
      </c>
    </row>
    <row r="280" spans="1:16">
      <c r="A280" s="3">
        <v>279</v>
      </c>
      <c r="B280" s="3" t="s">
        <v>232</v>
      </c>
      <c r="C280" s="3" t="s">
        <v>310</v>
      </c>
      <c r="D280" s="3">
        <v>0.15</v>
      </c>
      <c r="E280" s="3">
        <v>750</v>
      </c>
      <c r="F280" s="3">
        <v>0</v>
      </c>
      <c r="G280" s="3">
        <v>0</v>
      </c>
      <c r="H280" s="3">
        <v>0</v>
      </c>
      <c r="I280" s="3">
        <v>0</v>
      </c>
      <c r="J280" s="4">
        <v>550000</v>
      </c>
      <c r="K280" s="4">
        <v>550000</v>
      </c>
      <c r="L280" s="3" t="s">
        <v>17</v>
      </c>
      <c r="M280" s="3" t="s">
        <v>234</v>
      </c>
      <c r="N280" s="2"/>
      <c r="O280" s="2"/>
      <c r="P280" s="3" t="str">
        <f>IF(OR(COUNTIF('ثبت لیبل'!$B$11:$B$1010,TRIM(LEFT(C280,FIND("-",C280&amp;"-")-1)))&gt;0,COUNTIF('ثبت لیبل'!$B$11:$B$1010,SUBSTITUTE(TRIM(LEFT(C280,FIND("-",C280&amp;"-")-1)),"GD",""))&gt;0),"موجود","")</f>
        <v/>
      </c>
    </row>
    <row r="281" spans="1:16">
      <c r="A281" s="3">
        <v>280</v>
      </c>
      <c r="B281" s="3" t="s">
        <v>232</v>
      </c>
      <c r="C281" s="3" t="s">
        <v>311</v>
      </c>
      <c r="D281" s="3">
        <v>0.15</v>
      </c>
      <c r="E281" s="3">
        <v>750</v>
      </c>
      <c r="F281" s="3">
        <v>0</v>
      </c>
      <c r="G281" s="3">
        <v>0</v>
      </c>
      <c r="H281" s="3">
        <v>0</v>
      </c>
      <c r="I281" s="3">
        <v>0</v>
      </c>
      <c r="J281" s="4">
        <v>550000</v>
      </c>
      <c r="K281" s="4">
        <v>550000</v>
      </c>
      <c r="L281" s="3" t="s">
        <v>17</v>
      </c>
      <c r="M281" s="3" t="s">
        <v>234</v>
      </c>
      <c r="N281" s="2"/>
      <c r="O281" s="2"/>
      <c r="P281" s="3" t="str">
        <f>IF(OR(COUNTIF('ثبت لیبل'!$B$11:$B$1010,TRIM(LEFT(C281,FIND("-",C281&amp;"-")-1)))&gt;0,COUNTIF('ثبت لیبل'!$B$11:$B$1010,SUBSTITUTE(TRIM(LEFT(C281,FIND("-",C281&amp;"-")-1)),"GD",""))&gt;0),"موجود","")</f>
        <v/>
      </c>
    </row>
    <row r="282" spans="1:16">
      <c r="A282" s="3">
        <v>281</v>
      </c>
      <c r="B282" s="3" t="s">
        <v>232</v>
      </c>
      <c r="C282" s="3" t="s">
        <v>312</v>
      </c>
      <c r="D282" s="3">
        <v>0.15</v>
      </c>
      <c r="E282" s="3">
        <v>750</v>
      </c>
      <c r="F282" s="3">
        <v>0</v>
      </c>
      <c r="G282" s="3">
        <v>0</v>
      </c>
      <c r="H282" s="3">
        <v>0</v>
      </c>
      <c r="I282" s="3">
        <v>0</v>
      </c>
      <c r="J282" s="4">
        <v>550000</v>
      </c>
      <c r="K282" s="4">
        <v>550000</v>
      </c>
      <c r="L282" s="3" t="s">
        <v>17</v>
      </c>
      <c r="M282" s="3" t="s">
        <v>234</v>
      </c>
      <c r="N282" s="2"/>
      <c r="O282" s="2"/>
      <c r="P282" s="3" t="str">
        <f>IF(OR(COUNTIF('ثبت لیبل'!$B$11:$B$1010,TRIM(LEFT(C282,FIND("-",C282&amp;"-")-1)))&gt;0,COUNTIF('ثبت لیبل'!$B$11:$B$1010,SUBSTITUTE(TRIM(LEFT(C282,FIND("-",C282&amp;"-")-1)),"GD",""))&gt;0),"موجود","")</f>
        <v/>
      </c>
    </row>
    <row r="283" spans="1:16">
      <c r="A283" s="3">
        <v>282</v>
      </c>
      <c r="B283" s="3" t="s">
        <v>232</v>
      </c>
      <c r="C283" s="3" t="s">
        <v>313</v>
      </c>
      <c r="D283" s="3">
        <v>0.15</v>
      </c>
      <c r="E283" s="3">
        <v>750</v>
      </c>
      <c r="F283" s="3">
        <v>0</v>
      </c>
      <c r="G283" s="3">
        <v>0</v>
      </c>
      <c r="H283" s="3">
        <v>0</v>
      </c>
      <c r="I283" s="3">
        <v>0</v>
      </c>
      <c r="J283" s="4">
        <v>550000</v>
      </c>
      <c r="K283" s="4">
        <v>550000</v>
      </c>
      <c r="L283" s="3" t="s">
        <v>17</v>
      </c>
      <c r="M283" s="3" t="s">
        <v>234</v>
      </c>
      <c r="N283" s="2"/>
      <c r="O283" s="2"/>
      <c r="P283" s="3" t="str">
        <f>IF(OR(COUNTIF('ثبت لیبل'!$B$11:$B$1010,TRIM(LEFT(C283,FIND("-",C283&amp;"-")-1)))&gt;0,COUNTIF('ثبت لیبل'!$B$11:$B$1010,SUBSTITUTE(TRIM(LEFT(C283,FIND("-",C283&amp;"-")-1)),"GD",""))&gt;0),"موجود","")</f>
        <v/>
      </c>
    </row>
    <row r="284" spans="1:16">
      <c r="A284" s="3">
        <v>283</v>
      </c>
      <c r="B284" s="3" t="s">
        <v>232</v>
      </c>
      <c r="C284" s="3" t="s">
        <v>314</v>
      </c>
      <c r="D284" s="3">
        <v>0.15</v>
      </c>
      <c r="E284" s="3">
        <v>750</v>
      </c>
      <c r="F284" s="3">
        <v>0</v>
      </c>
      <c r="G284" s="3">
        <v>0</v>
      </c>
      <c r="H284" s="3">
        <v>0</v>
      </c>
      <c r="I284" s="3">
        <v>0</v>
      </c>
      <c r="J284" s="4">
        <v>550000</v>
      </c>
      <c r="K284" s="4">
        <v>550000</v>
      </c>
      <c r="L284" s="3" t="s">
        <v>17</v>
      </c>
      <c r="M284" s="3" t="s">
        <v>234</v>
      </c>
      <c r="N284" s="2"/>
      <c r="O284" s="2"/>
      <c r="P284" s="3" t="str">
        <f>IF(OR(COUNTIF('ثبت لیبل'!$B$11:$B$1010,TRIM(LEFT(C284,FIND("-",C284&amp;"-")-1)))&gt;0,COUNTIF('ثبت لیبل'!$B$11:$B$1010,SUBSTITUTE(TRIM(LEFT(C284,FIND("-",C284&amp;"-")-1)),"GD",""))&gt;0),"موجود","")</f>
        <v/>
      </c>
    </row>
    <row r="285" spans="1:16">
      <c r="A285" s="3">
        <v>284</v>
      </c>
      <c r="B285" s="3" t="s">
        <v>232</v>
      </c>
      <c r="C285" s="3" t="s">
        <v>315</v>
      </c>
      <c r="D285" s="3">
        <v>0.15</v>
      </c>
      <c r="E285" s="3">
        <v>750</v>
      </c>
      <c r="F285" s="3">
        <v>0</v>
      </c>
      <c r="G285" s="3">
        <v>0</v>
      </c>
      <c r="H285" s="3">
        <v>0</v>
      </c>
      <c r="I285" s="3">
        <v>0</v>
      </c>
      <c r="J285" s="4">
        <v>550000</v>
      </c>
      <c r="K285" s="4">
        <v>550000</v>
      </c>
      <c r="L285" s="3" t="s">
        <v>17</v>
      </c>
      <c r="M285" s="3" t="s">
        <v>234</v>
      </c>
      <c r="N285" s="2"/>
      <c r="O285" s="2"/>
      <c r="P285" s="3" t="str">
        <f>IF(OR(COUNTIF('ثبت لیبل'!$B$11:$B$1010,TRIM(LEFT(C285,FIND("-",C285&amp;"-")-1)))&gt;0,COUNTIF('ثبت لیبل'!$B$11:$B$1010,SUBSTITUTE(TRIM(LEFT(C285,FIND("-",C285&amp;"-")-1)),"GD",""))&gt;0),"موجود","")</f>
        <v/>
      </c>
    </row>
    <row r="286" spans="1:16">
      <c r="A286" s="3">
        <v>285</v>
      </c>
      <c r="B286" s="3" t="s">
        <v>232</v>
      </c>
      <c r="C286" s="3" t="s">
        <v>316</v>
      </c>
      <c r="D286" s="3">
        <v>0.15</v>
      </c>
      <c r="E286" s="3">
        <v>750</v>
      </c>
      <c r="F286" s="3">
        <v>0</v>
      </c>
      <c r="G286" s="3">
        <v>0</v>
      </c>
      <c r="H286" s="3">
        <v>0</v>
      </c>
      <c r="I286" s="3">
        <v>0</v>
      </c>
      <c r="J286" s="4">
        <v>550000</v>
      </c>
      <c r="K286" s="4">
        <v>550000</v>
      </c>
      <c r="L286" s="3" t="s">
        <v>17</v>
      </c>
      <c r="M286" s="3" t="s">
        <v>234</v>
      </c>
      <c r="N286" s="2"/>
      <c r="O286" s="2"/>
      <c r="P286" s="3" t="str">
        <f>IF(OR(COUNTIF('ثبت لیبل'!$B$11:$B$1010,TRIM(LEFT(C286,FIND("-",C286&amp;"-")-1)))&gt;0,COUNTIF('ثبت لیبل'!$B$11:$B$1010,SUBSTITUTE(TRIM(LEFT(C286,FIND("-",C286&amp;"-")-1)),"GD",""))&gt;0),"موجود","")</f>
        <v/>
      </c>
    </row>
    <row r="287" spans="1:16">
      <c r="A287" s="3">
        <v>286</v>
      </c>
      <c r="B287" s="3" t="s">
        <v>232</v>
      </c>
      <c r="C287" s="3" t="s">
        <v>317</v>
      </c>
      <c r="D287" s="3">
        <v>0.15</v>
      </c>
      <c r="E287" s="3">
        <v>750</v>
      </c>
      <c r="F287" s="3">
        <v>0</v>
      </c>
      <c r="G287" s="3">
        <v>0</v>
      </c>
      <c r="H287" s="3">
        <v>0</v>
      </c>
      <c r="I287" s="3">
        <v>0</v>
      </c>
      <c r="J287" s="4">
        <v>550000</v>
      </c>
      <c r="K287" s="4">
        <v>550000</v>
      </c>
      <c r="L287" s="3" t="s">
        <v>17</v>
      </c>
      <c r="M287" s="3" t="s">
        <v>234</v>
      </c>
      <c r="N287" s="2"/>
      <c r="O287" s="2"/>
      <c r="P287" s="3" t="str">
        <f>IF(OR(COUNTIF('ثبت لیبل'!$B$11:$B$1010,TRIM(LEFT(C287,FIND("-",C287&amp;"-")-1)))&gt;0,COUNTIF('ثبت لیبل'!$B$11:$B$1010,SUBSTITUTE(TRIM(LEFT(C287,FIND("-",C287&amp;"-")-1)),"GD",""))&gt;0),"موجود","")</f>
        <v/>
      </c>
    </row>
    <row r="288" spans="1:16">
      <c r="A288" s="3">
        <v>287</v>
      </c>
      <c r="B288" s="3" t="s">
        <v>232</v>
      </c>
      <c r="C288" s="3" t="s">
        <v>318</v>
      </c>
      <c r="D288" s="3">
        <v>0.15</v>
      </c>
      <c r="E288" s="3">
        <v>750</v>
      </c>
      <c r="F288" s="3">
        <v>0</v>
      </c>
      <c r="G288" s="3">
        <v>0</v>
      </c>
      <c r="H288" s="3">
        <v>0</v>
      </c>
      <c r="I288" s="3">
        <v>0</v>
      </c>
      <c r="J288" s="4">
        <v>550000</v>
      </c>
      <c r="K288" s="4">
        <v>550000</v>
      </c>
      <c r="L288" s="3" t="s">
        <v>17</v>
      </c>
      <c r="M288" s="3" t="s">
        <v>234</v>
      </c>
      <c r="N288" s="2"/>
      <c r="O288" s="2"/>
      <c r="P288" s="3" t="str">
        <f>IF(OR(COUNTIF('ثبت لیبل'!$B$11:$B$1010,TRIM(LEFT(C288,FIND("-",C288&amp;"-")-1)))&gt;0,COUNTIF('ثبت لیبل'!$B$11:$B$1010,SUBSTITUTE(TRIM(LEFT(C288,FIND("-",C288&amp;"-")-1)),"GD",""))&gt;0),"موجود","")</f>
        <v/>
      </c>
    </row>
    <row r="289" spans="1:16">
      <c r="A289" s="3">
        <v>288</v>
      </c>
      <c r="B289" s="3" t="s">
        <v>232</v>
      </c>
      <c r="C289" s="3" t="s">
        <v>319</v>
      </c>
      <c r="D289" s="3">
        <v>0.05</v>
      </c>
      <c r="E289" s="3">
        <v>750</v>
      </c>
      <c r="F289" s="3">
        <v>0</v>
      </c>
      <c r="G289" s="3">
        <v>0</v>
      </c>
      <c r="H289" s="3">
        <v>0</v>
      </c>
      <c r="I289" s="3">
        <v>0</v>
      </c>
      <c r="J289" s="4">
        <v>550000</v>
      </c>
      <c r="K289" s="4">
        <v>550000</v>
      </c>
      <c r="L289" s="3" t="s">
        <v>17</v>
      </c>
      <c r="M289" s="3" t="s">
        <v>234</v>
      </c>
      <c r="N289" s="2"/>
      <c r="O289" s="2"/>
      <c r="P289" s="3" t="str">
        <f>IF(OR(COUNTIF('ثبت لیبل'!$B$11:$B$1010,TRIM(LEFT(C289,FIND("-",C289&amp;"-")-1)))&gt;0,COUNTIF('ثبت لیبل'!$B$11:$B$1010,SUBSTITUTE(TRIM(LEFT(C289,FIND("-",C289&amp;"-")-1)),"GD",""))&gt;0),"موجود","")</f>
        <v/>
      </c>
    </row>
    <row r="290" spans="1:16">
      <c r="A290" s="3">
        <v>289</v>
      </c>
      <c r="B290" s="3" t="s">
        <v>232</v>
      </c>
      <c r="C290" s="3" t="s">
        <v>320</v>
      </c>
      <c r="D290" s="3">
        <v>0.05</v>
      </c>
      <c r="E290" s="3">
        <v>750</v>
      </c>
      <c r="F290" s="3">
        <v>0</v>
      </c>
      <c r="G290" s="3">
        <v>0</v>
      </c>
      <c r="H290" s="3">
        <v>0</v>
      </c>
      <c r="I290" s="3">
        <v>0</v>
      </c>
      <c r="J290" s="4">
        <v>550000</v>
      </c>
      <c r="K290" s="4">
        <v>550000</v>
      </c>
      <c r="L290" s="3" t="s">
        <v>17</v>
      </c>
      <c r="M290" s="3" t="s">
        <v>234</v>
      </c>
      <c r="N290" s="2"/>
      <c r="O290" s="2"/>
      <c r="P290" s="3" t="str">
        <f>IF(OR(COUNTIF('ثبت لیبل'!$B$11:$B$1010,TRIM(LEFT(C290,FIND("-",C290&amp;"-")-1)))&gt;0,COUNTIF('ثبت لیبل'!$B$11:$B$1010,SUBSTITUTE(TRIM(LEFT(C290,FIND("-",C290&amp;"-")-1)),"GD",""))&gt;0),"موجود","")</f>
        <v/>
      </c>
    </row>
    <row r="291" spans="1:16">
      <c r="A291" s="3">
        <v>290</v>
      </c>
      <c r="B291" s="3" t="s">
        <v>232</v>
      </c>
      <c r="C291" s="3" t="s">
        <v>321</v>
      </c>
      <c r="D291" s="3">
        <v>0.05</v>
      </c>
      <c r="E291" s="3">
        <v>750</v>
      </c>
      <c r="F291" s="3">
        <v>0</v>
      </c>
      <c r="G291" s="3">
        <v>0</v>
      </c>
      <c r="H291" s="3">
        <v>0</v>
      </c>
      <c r="I291" s="3">
        <v>0</v>
      </c>
      <c r="J291" s="4">
        <v>550000</v>
      </c>
      <c r="K291" s="4">
        <v>550000</v>
      </c>
      <c r="L291" s="3" t="s">
        <v>17</v>
      </c>
      <c r="M291" s="3" t="s">
        <v>234</v>
      </c>
      <c r="N291" s="2"/>
      <c r="O291" s="2"/>
      <c r="P291" s="3" t="str">
        <f>IF(OR(COUNTIF('ثبت لیبل'!$B$11:$B$1010,TRIM(LEFT(C291,FIND("-",C291&amp;"-")-1)))&gt;0,COUNTIF('ثبت لیبل'!$B$11:$B$1010,SUBSTITUTE(TRIM(LEFT(C291,FIND("-",C291&amp;"-")-1)),"GD",""))&gt;0),"موجود","")</f>
        <v/>
      </c>
    </row>
    <row r="292" spans="1:16">
      <c r="A292" s="3">
        <v>291</v>
      </c>
      <c r="B292" s="3" t="s">
        <v>232</v>
      </c>
      <c r="C292" s="3" t="s">
        <v>322</v>
      </c>
      <c r="D292" s="3">
        <v>0.05</v>
      </c>
      <c r="E292" s="3">
        <v>750</v>
      </c>
      <c r="F292" s="3">
        <v>0</v>
      </c>
      <c r="G292" s="3">
        <v>0</v>
      </c>
      <c r="H292" s="3">
        <v>0</v>
      </c>
      <c r="I292" s="3">
        <v>0</v>
      </c>
      <c r="J292" s="4">
        <v>550000</v>
      </c>
      <c r="K292" s="4">
        <v>550000</v>
      </c>
      <c r="L292" s="3" t="s">
        <v>17</v>
      </c>
      <c r="M292" s="3" t="s">
        <v>234</v>
      </c>
      <c r="N292" s="2"/>
      <c r="O292" s="2"/>
      <c r="P292" s="3" t="str">
        <f>IF(OR(COUNTIF('ثبت لیبل'!$B$11:$B$1010,TRIM(LEFT(C292,FIND("-",C292&amp;"-")-1)))&gt;0,COUNTIF('ثبت لیبل'!$B$11:$B$1010,SUBSTITUTE(TRIM(LEFT(C292,FIND("-",C292&amp;"-")-1)),"GD",""))&gt;0),"موجود","")</f>
        <v/>
      </c>
    </row>
    <row r="293" spans="1:16">
      <c r="A293" s="3">
        <v>292</v>
      </c>
      <c r="B293" s="3" t="s">
        <v>232</v>
      </c>
      <c r="C293" s="3" t="s">
        <v>323</v>
      </c>
      <c r="D293" s="3">
        <v>0.05</v>
      </c>
      <c r="E293" s="3">
        <v>750</v>
      </c>
      <c r="F293" s="3">
        <v>0</v>
      </c>
      <c r="G293" s="3">
        <v>0</v>
      </c>
      <c r="H293" s="3">
        <v>0</v>
      </c>
      <c r="I293" s="3">
        <v>0</v>
      </c>
      <c r="J293" s="4">
        <v>550000</v>
      </c>
      <c r="K293" s="4">
        <v>550000</v>
      </c>
      <c r="L293" s="3" t="s">
        <v>17</v>
      </c>
      <c r="M293" s="3" t="s">
        <v>234</v>
      </c>
      <c r="N293" s="2"/>
      <c r="O293" s="2"/>
      <c r="P293" s="3" t="str">
        <f>IF(OR(COUNTIF('ثبت لیبل'!$B$11:$B$1010,TRIM(LEFT(C293,FIND("-",C293&amp;"-")-1)))&gt;0,COUNTIF('ثبت لیبل'!$B$11:$B$1010,SUBSTITUTE(TRIM(LEFT(C293,FIND("-",C293&amp;"-")-1)),"GD",""))&gt;0),"موجود","")</f>
        <v/>
      </c>
    </row>
    <row r="294" spans="1:16">
      <c r="A294" s="3">
        <v>293</v>
      </c>
      <c r="B294" s="3" t="s">
        <v>232</v>
      </c>
      <c r="C294" s="3" t="s">
        <v>324</v>
      </c>
      <c r="D294" s="3">
        <v>0.05</v>
      </c>
      <c r="E294" s="3">
        <v>750</v>
      </c>
      <c r="F294" s="3">
        <v>0</v>
      </c>
      <c r="G294" s="3">
        <v>0</v>
      </c>
      <c r="H294" s="3">
        <v>0</v>
      </c>
      <c r="I294" s="3">
        <v>0</v>
      </c>
      <c r="J294" s="4">
        <v>550000</v>
      </c>
      <c r="K294" s="4">
        <v>550000</v>
      </c>
      <c r="L294" s="3" t="s">
        <v>17</v>
      </c>
      <c r="M294" s="3" t="s">
        <v>234</v>
      </c>
      <c r="N294" s="2"/>
      <c r="O294" s="2"/>
      <c r="P294" s="3" t="str">
        <f>IF(OR(COUNTIF('ثبت لیبل'!$B$11:$B$1010,TRIM(LEFT(C294,FIND("-",C294&amp;"-")-1)))&gt;0,COUNTIF('ثبت لیبل'!$B$11:$B$1010,SUBSTITUTE(TRIM(LEFT(C294,FIND("-",C294&amp;"-")-1)),"GD",""))&gt;0),"موجود","")</f>
        <v/>
      </c>
    </row>
    <row r="295" spans="1:16">
      <c r="A295" s="3">
        <v>294</v>
      </c>
      <c r="B295" s="3" t="s">
        <v>232</v>
      </c>
      <c r="C295" s="3" t="s">
        <v>325</v>
      </c>
      <c r="D295" s="3">
        <v>0.05</v>
      </c>
      <c r="E295" s="3">
        <v>750</v>
      </c>
      <c r="F295" s="3">
        <v>0</v>
      </c>
      <c r="G295" s="3">
        <v>0</v>
      </c>
      <c r="H295" s="3">
        <v>0</v>
      </c>
      <c r="I295" s="3">
        <v>0</v>
      </c>
      <c r="J295" s="4">
        <v>550000</v>
      </c>
      <c r="K295" s="4">
        <v>550000</v>
      </c>
      <c r="L295" s="3" t="s">
        <v>17</v>
      </c>
      <c r="M295" s="3" t="s">
        <v>234</v>
      </c>
      <c r="N295" s="2"/>
      <c r="O295" s="2"/>
      <c r="P295" s="3" t="str">
        <f>IF(OR(COUNTIF('ثبت لیبل'!$B$11:$B$1010,TRIM(LEFT(C295,FIND("-",C295&amp;"-")-1)))&gt;0,COUNTIF('ثبت لیبل'!$B$11:$B$1010,SUBSTITUTE(TRIM(LEFT(C295,FIND("-",C295&amp;"-")-1)),"GD",""))&gt;0),"موجود","")</f>
        <v/>
      </c>
    </row>
    <row r="296" spans="1:16">
      <c r="A296" s="3">
        <v>295</v>
      </c>
      <c r="B296" s="3" t="s">
        <v>232</v>
      </c>
      <c r="C296" s="3" t="s">
        <v>326</v>
      </c>
      <c r="D296" s="3">
        <v>0.05</v>
      </c>
      <c r="E296" s="3">
        <v>750</v>
      </c>
      <c r="F296" s="3">
        <v>0</v>
      </c>
      <c r="G296" s="3">
        <v>0</v>
      </c>
      <c r="H296" s="3">
        <v>0</v>
      </c>
      <c r="I296" s="3">
        <v>0</v>
      </c>
      <c r="J296" s="4">
        <v>550000</v>
      </c>
      <c r="K296" s="4">
        <v>550000</v>
      </c>
      <c r="L296" s="3" t="s">
        <v>17</v>
      </c>
      <c r="M296" s="3" t="s">
        <v>234</v>
      </c>
      <c r="N296" s="2"/>
      <c r="O296" s="2"/>
      <c r="P296" s="3" t="str">
        <f>IF(OR(COUNTIF('ثبت لیبل'!$B$11:$B$1010,TRIM(LEFT(C296,FIND("-",C296&amp;"-")-1)))&gt;0,COUNTIF('ثبت لیبل'!$B$11:$B$1010,SUBSTITUTE(TRIM(LEFT(C296,FIND("-",C296&amp;"-")-1)),"GD",""))&gt;0),"موجود","")</f>
        <v/>
      </c>
    </row>
    <row r="297" spans="1:16">
      <c r="A297" s="3">
        <v>296</v>
      </c>
      <c r="B297" s="3" t="s">
        <v>232</v>
      </c>
      <c r="C297" s="3" t="s">
        <v>327</v>
      </c>
      <c r="D297" s="3">
        <v>0.05</v>
      </c>
      <c r="E297" s="3">
        <v>750</v>
      </c>
      <c r="F297" s="3">
        <v>0</v>
      </c>
      <c r="G297" s="3">
        <v>0</v>
      </c>
      <c r="H297" s="3">
        <v>0</v>
      </c>
      <c r="I297" s="3">
        <v>0</v>
      </c>
      <c r="J297" s="4">
        <v>550000</v>
      </c>
      <c r="K297" s="4">
        <v>550000</v>
      </c>
      <c r="L297" s="3" t="s">
        <v>17</v>
      </c>
      <c r="M297" s="3" t="s">
        <v>234</v>
      </c>
      <c r="N297" s="2"/>
      <c r="O297" s="2"/>
      <c r="P297" s="3" t="str">
        <f>IF(OR(COUNTIF('ثبت لیبل'!$B$11:$B$1010,TRIM(LEFT(C297,FIND("-",C297&amp;"-")-1)))&gt;0,COUNTIF('ثبت لیبل'!$B$11:$B$1010,SUBSTITUTE(TRIM(LEFT(C297,FIND("-",C297&amp;"-")-1)),"GD",""))&gt;0),"موجود","")</f>
        <v/>
      </c>
    </row>
    <row r="298" spans="1:16">
      <c r="A298" s="3">
        <v>297</v>
      </c>
      <c r="B298" s="3" t="s">
        <v>232</v>
      </c>
      <c r="C298" s="3" t="s">
        <v>328</v>
      </c>
      <c r="D298" s="3">
        <v>0.05</v>
      </c>
      <c r="E298" s="3">
        <v>750</v>
      </c>
      <c r="F298" s="3">
        <v>0</v>
      </c>
      <c r="G298" s="3">
        <v>0</v>
      </c>
      <c r="H298" s="3">
        <v>0</v>
      </c>
      <c r="I298" s="3">
        <v>0</v>
      </c>
      <c r="J298" s="4">
        <v>550000</v>
      </c>
      <c r="K298" s="4">
        <v>550000</v>
      </c>
      <c r="L298" s="3" t="s">
        <v>17</v>
      </c>
      <c r="M298" s="3" t="s">
        <v>234</v>
      </c>
      <c r="N298" s="2"/>
      <c r="O298" s="2"/>
      <c r="P298" s="3" t="str">
        <f>IF(OR(COUNTIF('ثبت لیبل'!$B$11:$B$1010,TRIM(LEFT(C298,FIND("-",C298&amp;"-")-1)))&gt;0,COUNTIF('ثبت لیبل'!$B$11:$B$1010,SUBSTITUTE(TRIM(LEFT(C298,FIND("-",C298&amp;"-")-1)),"GD",""))&gt;0),"موجود","")</f>
        <v/>
      </c>
    </row>
    <row r="299" spans="1:16">
      <c r="A299" s="3">
        <v>298</v>
      </c>
      <c r="B299" s="3" t="s">
        <v>232</v>
      </c>
      <c r="C299" s="3" t="s">
        <v>329</v>
      </c>
      <c r="D299" s="3">
        <v>0.05</v>
      </c>
      <c r="E299" s="3">
        <v>750</v>
      </c>
      <c r="F299" s="3">
        <v>0</v>
      </c>
      <c r="G299" s="3">
        <v>0</v>
      </c>
      <c r="H299" s="3">
        <v>0</v>
      </c>
      <c r="I299" s="3">
        <v>0</v>
      </c>
      <c r="J299" s="4">
        <v>550000</v>
      </c>
      <c r="K299" s="4">
        <v>550000</v>
      </c>
      <c r="L299" s="3" t="s">
        <v>17</v>
      </c>
      <c r="M299" s="3" t="s">
        <v>234</v>
      </c>
      <c r="N299" s="2"/>
      <c r="O299" s="2"/>
      <c r="P299" s="3" t="str">
        <f>IF(OR(COUNTIF('ثبت لیبل'!$B$11:$B$1010,TRIM(LEFT(C299,FIND("-",C299&amp;"-")-1)))&gt;0,COUNTIF('ثبت لیبل'!$B$11:$B$1010,SUBSTITUTE(TRIM(LEFT(C299,FIND("-",C299&amp;"-")-1)),"GD",""))&gt;0),"موجود","")</f>
        <v/>
      </c>
    </row>
    <row r="300" spans="1:16">
      <c r="A300" s="3">
        <v>299</v>
      </c>
      <c r="B300" s="3" t="s">
        <v>232</v>
      </c>
      <c r="C300" s="3" t="s">
        <v>330</v>
      </c>
      <c r="D300" s="3">
        <v>0.05</v>
      </c>
      <c r="E300" s="3">
        <v>750</v>
      </c>
      <c r="F300" s="3">
        <v>0</v>
      </c>
      <c r="G300" s="3">
        <v>0</v>
      </c>
      <c r="H300" s="3">
        <v>0</v>
      </c>
      <c r="I300" s="3">
        <v>0</v>
      </c>
      <c r="J300" s="4">
        <v>550000</v>
      </c>
      <c r="K300" s="4">
        <v>550000</v>
      </c>
      <c r="L300" s="3" t="s">
        <v>17</v>
      </c>
      <c r="M300" s="3" t="s">
        <v>234</v>
      </c>
      <c r="N300" s="2"/>
      <c r="O300" s="2"/>
      <c r="P300" s="3" t="str">
        <f>IF(OR(COUNTIF('ثبت لیبل'!$B$11:$B$1010,TRIM(LEFT(C300,FIND("-",C300&amp;"-")-1)))&gt;0,COUNTIF('ثبت لیبل'!$B$11:$B$1010,SUBSTITUTE(TRIM(LEFT(C300,FIND("-",C300&amp;"-")-1)),"GD",""))&gt;0),"موجود","")</f>
        <v/>
      </c>
    </row>
    <row r="301" spans="1:16">
      <c r="A301" s="3">
        <v>300</v>
      </c>
      <c r="B301" s="3" t="s">
        <v>232</v>
      </c>
      <c r="C301" s="3" t="s">
        <v>331</v>
      </c>
      <c r="D301" s="3">
        <v>0.25</v>
      </c>
      <c r="E301" s="3">
        <v>750</v>
      </c>
      <c r="F301" s="3">
        <v>0</v>
      </c>
      <c r="G301" s="3">
        <v>0</v>
      </c>
      <c r="H301" s="3">
        <v>0</v>
      </c>
      <c r="I301" s="3">
        <v>0</v>
      </c>
      <c r="J301" s="4">
        <v>550000</v>
      </c>
      <c r="K301" s="4">
        <v>550000</v>
      </c>
      <c r="L301" s="2"/>
      <c r="M301" s="2"/>
      <c r="N301" s="2"/>
      <c r="O301" s="2"/>
      <c r="P301" s="3" t="str">
        <f>IF(OR(COUNTIF('ثبت لیبل'!$B$11:$B$1010,TRIM(LEFT(C301,FIND("-",C301&amp;"-")-1)))&gt;0,COUNTIF('ثبت لیبل'!$B$11:$B$1010,SUBSTITUTE(TRIM(LEFT(C301,FIND("-",C301&amp;"-")-1)),"GD",""))&gt;0),"موجود","")</f>
        <v/>
      </c>
    </row>
    <row r="302" spans="1:16">
      <c r="A302" s="3">
        <v>301</v>
      </c>
      <c r="B302" s="3" t="s">
        <v>232</v>
      </c>
      <c r="C302" s="3" t="s">
        <v>332</v>
      </c>
      <c r="D302" s="3">
        <v>0.25</v>
      </c>
      <c r="E302" s="3">
        <v>750</v>
      </c>
      <c r="F302" s="3">
        <v>0</v>
      </c>
      <c r="G302" s="3">
        <v>0</v>
      </c>
      <c r="H302" s="3">
        <v>0</v>
      </c>
      <c r="I302" s="3">
        <v>0</v>
      </c>
      <c r="J302" s="4">
        <v>550000</v>
      </c>
      <c r="K302" s="4">
        <v>550000</v>
      </c>
      <c r="L302" s="3" t="s">
        <v>17</v>
      </c>
      <c r="M302" s="3" t="s">
        <v>234</v>
      </c>
      <c r="N302" s="2"/>
      <c r="O302" s="2"/>
      <c r="P302" s="3" t="str">
        <f>IF(OR(COUNTIF('ثبت لیبل'!$B$11:$B$1010,TRIM(LEFT(C302,FIND("-",C302&amp;"-")-1)))&gt;0,COUNTIF('ثبت لیبل'!$B$11:$B$1010,SUBSTITUTE(TRIM(LEFT(C302,FIND("-",C302&amp;"-")-1)),"GD",""))&gt;0),"موجود","")</f>
        <v/>
      </c>
    </row>
    <row r="303" spans="1:16">
      <c r="A303" s="3">
        <v>302</v>
      </c>
      <c r="B303" s="3" t="s">
        <v>232</v>
      </c>
      <c r="C303" s="3" t="s">
        <v>333</v>
      </c>
      <c r="D303" s="3">
        <v>0.25</v>
      </c>
      <c r="E303" s="3">
        <v>750</v>
      </c>
      <c r="F303" s="3">
        <v>0</v>
      </c>
      <c r="G303" s="3">
        <v>0</v>
      </c>
      <c r="H303" s="3">
        <v>0</v>
      </c>
      <c r="I303" s="3">
        <v>0</v>
      </c>
      <c r="J303" s="4">
        <v>550000</v>
      </c>
      <c r="K303" s="4">
        <v>550000</v>
      </c>
      <c r="L303" s="3" t="s">
        <v>17</v>
      </c>
      <c r="M303" s="3" t="s">
        <v>234</v>
      </c>
      <c r="N303" s="2"/>
      <c r="O303" s="2"/>
      <c r="P303" s="3" t="str">
        <f>IF(OR(COUNTIF('ثبت لیبل'!$B$11:$B$1010,TRIM(LEFT(C303,FIND("-",C303&amp;"-")-1)))&gt;0,COUNTIF('ثبت لیبل'!$B$11:$B$1010,SUBSTITUTE(TRIM(LEFT(C303,FIND("-",C303&amp;"-")-1)),"GD",""))&gt;0),"موجود","")</f>
        <v/>
      </c>
    </row>
    <row r="304" spans="1:16">
      <c r="A304" s="3">
        <v>303</v>
      </c>
      <c r="B304" s="3" t="s">
        <v>232</v>
      </c>
      <c r="C304" s="3" t="s">
        <v>334</v>
      </c>
      <c r="D304" s="3">
        <v>0.5</v>
      </c>
      <c r="E304" s="3">
        <v>750</v>
      </c>
      <c r="F304" s="3">
        <v>0</v>
      </c>
      <c r="G304" s="3">
        <v>0</v>
      </c>
      <c r="H304" s="3">
        <v>0</v>
      </c>
      <c r="I304" s="3">
        <v>0</v>
      </c>
      <c r="J304" s="4">
        <v>550000</v>
      </c>
      <c r="K304" s="4">
        <v>550000</v>
      </c>
      <c r="L304" s="3" t="s">
        <v>17</v>
      </c>
      <c r="M304" s="3" t="s">
        <v>234</v>
      </c>
      <c r="N304" s="2"/>
      <c r="O304" s="2"/>
      <c r="P304" s="3" t="str">
        <f>IF(OR(COUNTIF('ثبت لیبل'!$B$11:$B$1010,TRIM(LEFT(C304,FIND("-",C304&amp;"-")-1)))&gt;0,COUNTIF('ثبت لیبل'!$B$11:$B$1010,SUBSTITUTE(TRIM(LEFT(C304,FIND("-",C304&amp;"-")-1)),"GD",""))&gt;0),"موجود","")</f>
        <v/>
      </c>
    </row>
    <row r="305" spans="1:16">
      <c r="A305" s="3">
        <v>304</v>
      </c>
      <c r="B305" s="3" t="s">
        <v>232</v>
      </c>
      <c r="C305" s="3" t="s">
        <v>335</v>
      </c>
      <c r="D305" s="3">
        <v>0.5</v>
      </c>
      <c r="E305" s="3">
        <v>750</v>
      </c>
      <c r="F305" s="3">
        <v>0</v>
      </c>
      <c r="G305" s="3">
        <v>0</v>
      </c>
      <c r="H305" s="3">
        <v>0</v>
      </c>
      <c r="I305" s="3">
        <v>0</v>
      </c>
      <c r="J305" s="4">
        <v>550000</v>
      </c>
      <c r="K305" s="4">
        <v>550000</v>
      </c>
      <c r="L305" s="3" t="s">
        <v>17</v>
      </c>
      <c r="M305" s="3" t="s">
        <v>234</v>
      </c>
      <c r="N305" s="2"/>
      <c r="O305" s="2"/>
      <c r="P305" s="3" t="str">
        <f>IF(OR(COUNTIF('ثبت لیبل'!$B$11:$B$1010,TRIM(LEFT(C305,FIND("-",C305&amp;"-")-1)))&gt;0,COUNTIF('ثبت لیبل'!$B$11:$B$1010,SUBSTITUTE(TRIM(LEFT(C305,FIND("-",C305&amp;"-")-1)),"GD",""))&gt;0),"موجود","")</f>
        <v/>
      </c>
    </row>
    <row r="306" spans="1:16">
      <c r="A306" s="3">
        <v>305</v>
      </c>
      <c r="B306" s="3" t="s">
        <v>232</v>
      </c>
      <c r="C306" s="3" t="s">
        <v>336</v>
      </c>
      <c r="D306" s="3">
        <v>0.5</v>
      </c>
      <c r="E306" s="3">
        <v>750</v>
      </c>
      <c r="F306" s="3">
        <v>0</v>
      </c>
      <c r="G306" s="3">
        <v>0</v>
      </c>
      <c r="H306" s="3">
        <v>0</v>
      </c>
      <c r="I306" s="3">
        <v>0</v>
      </c>
      <c r="J306" s="4">
        <v>550000</v>
      </c>
      <c r="K306" s="4">
        <v>550000</v>
      </c>
      <c r="L306" s="3" t="s">
        <v>17</v>
      </c>
      <c r="M306" s="3" t="s">
        <v>234</v>
      </c>
      <c r="N306" s="2"/>
      <c r="O306" s="2"/>
      <c r="P306" s="3" t="str">
        <f>IF(OR(COUNTIF('ثبت لیبل'!$B$11:$B$1010,TRIM(LEFT(C306,FIND("-",C306&amp;"-")-1)))&gt;0,COUNTIF('ثبت لیبل'!$B$11:$B$1010,SUBSTITUTE(TRIM(LEFT(C306,FIND("-",C306&amp;"-")-1)),"GD",""))&gt;0),"موجود","")</f>
        <v/>
      </c>
    </row>
    <row r="307" spans="1:16">
      <c r="A307" s="3">
        <v>306</v>
      </c>
      <c r="B307" s="3" t="s">
        <v>232</v>
      </c>
      <c r="C307" s="3" t="s">
        <v>337</v>
      </c>
      <c r="D307" s="3">
        <v>0.5</v>
      </c>
      <c r="E307" s="3">
        <v>750</v>
      </c>
      <c r="F307" s="3">
        <v>0</v>
      </c>
      <c r="G307" s="3">
        <v>0</v>
      </c>
      <c r="H307" s="3">
        <v>0</v>
      </c>
      <c r="I307" s="3">
        <v>0</v>
      </c>
      <c r="J307" s="4">
        <v>550000</v>
      </c>
      <c r="K307" s="4">
        <v>550000</v>
      </c>
      <c r="L307" s="3" t="s">
        <v>17</v>
      </c>
      <c r="M307" s="3" t="s">
        <v>234</v>
      </c>
      <c r="N307" s="2"/>
      <c r="O307" s="2"/>
      <c r="P307" s="3" t="str">
        <f>IF(OR(COUNTIF('ثبت لیبل'!$B$11:$B$1010,TRIM(LEFT(C307,FIND("-",C307&amp;"-")-1)))&gt;0,COUNTIF('ثبت لیبل'!$B$11:$B$1010,SUBSTITUTE(TRIM(LEFT(C307,FIND("-",C307&amp;"-")-1)),"GD",""))&gt;0),"موجود","")</f>
        <v/>
      </c>
    </row>
    <row r="308" spans="1:16">
      <c r="A308" s="3">
        <v>307</v>
      </c>
      <c r="B308" s="3" t="s">
        <v>232</v>
      </c>
      <c r="C308" s="3" t="s">
        <v>338</v>
      </c>
      <c r="D308" s="3">
        <v>0.5</v>
      </c>
      <c r="E308" s="3">
        <v>750</v>
      </c>
      <c r="F308" s="3">
        <v>0</v>
      </c>
      <c r="G308" s="3">
        <v>0</v>
      </c>
      <c r="H308" s="3">
        <v>0</v>
      </c>
      <c r="I308" s="3">
        <v>0</v>
      </c>
      <c r="J308" s="4">
        <v>550000</v>
      </c>
      <c r="K308" s="4">
        <v>550000</v>
      </c>
      <c r="L308" s="3" t="s">
        <v>17</v>
      </c>
      <c r="M308" s="3" t="s">
        <v>234</v>
      </c>
      <c r="N308" s="2"/>
      <c r="O308" s="2"/>
      <c r="P308" s="3" t="str">
        <f>IF(OR(COUNTIF('ثبت لیبل'!$B$11:$B$1010,TRIM(LEFT(C308,FIND("-",C308&amp;"-")-1)))&gt;0,COUNTIF('ثبت لیبل'!$B$11:$B$1010,SUBSTITUTE(TRIM(LEFT(C308,FIND("-",C308&amp;"-")-1)),"GD",""))&gt;0),"موجود","")</f>
        <v/>
      </c>
    </row>
    <row r="309" spans="1:16">
      <c r="A309" s="3">
        <v>308</v>
      </c>
      <c r="B309" s="3" t="s">
        <v>232</v>
      </c>
      <c r="C309" s="3" t="s">
        <v>339</v>
      </c>
      <c r="D309" s="3">
        <v>0.5</v>
      </c>
      <c r="E309" s="3">
        <v>750</v>
      </c>
      <c r="F309" s="3">
        <v>0</v>
      </c>
      <c r="G309" s="3">
        <v>0</v>
      </c>
      <c r="H309" s="3">
        <v>0</v>
      </c>
      <c r="I309" s="3">
        <v>0</v>
      </c>
      <c r="J309" s="4">
        <v>550000</v>
      </c>
      <c r="K309" s="4">
        <v>550000</v>
      </c>
      <c r="L309" s="3" t="s">
        <v>17</v>
      </c>
      <c r="M309" s="3" t="s">
        <v>234</v>
      </c>
      <c r="N309" s="2"/>
      <c r="O309" s="2"/>
      <c r="P309" s="3" t="str">
        <f>IF(OR(COUNTIF('ثبت لیبل'!$B$11:$B$1010,TRIM(LEFT(C309,FIND("-",C309&amp;"-")-1)))&gt;0,COUNTIF('ثبت لیبل'!$B$11:$B$1010,SUBSTITUTE(TRIM(LEFT(C309,FIND("-",C309&amp;"-")-1)),"GD",""))&gt;0),"موجود","")</f>
        <v/>
      </c>
    </row>
    <row r="310" spans="1:16">
      <c r="A310" s="3">
        <v>309</v>
      </c>
      <c r="B310" s="3" t="s">
        <v>232</v>
      </c>
      <c r="C310" s="3" t="s">
        <v>340</v>
      </c>
      <c r="D310" s="3">
        <v>0.5</v>
      </c>
      <c r="E310" s="3">
        <v>750</v>
      </c>
      <c r="F310" s="3">
        <v>0</v>
      </c>
      <c r="G310" s="3">
        <v>0</v>
      </c>
      <c r="H310" s="3">
        <v>0</v>
      </c>
      <c r="I310" s="3">
        <v>0</v>
      </c>
      <c r="J310" s="4">
        <v>550000</v>
      </c>
      <c r="K310" s="4">
        <v>550000</v>
      </c>
      <c r="L310" s="3" t="s">
        <v>17</v>
      </c>
      <c r="M310" s="3" t="s">
        <v>234</v>
      </c>
      <c r="N310" s="2"/>
      <c r="O310" s="2"/>
      <c r="P310" s="3" t="str">
        <f>IF(OR(COUNTIF('ثبت لیبل'!$B$11:$B$1010,TRIM(LEFT(C310,FIND("-",C310&amp;"-")-1)))&gt;0,COUNTIF('ثبت لیبل'!$B$11:$B$1010,SUBSTITUTE(TRIM(LEFT(C310,FIND("-",C310&amp;"-")-1)),"GD",""))&gt;0),"موجود","")</f>
        <v/>
      </c>
    </row>
    <row r="311" spans="1:16">
      <c r="A311" s="3">
        <v>310</v>
      </c>
      <c r="B311" s="3" t="s">
        <v>232</v>
      </c>
      <c r="C311" s="3" t="s">
        <v>341</v>
      </c>
      <c r="D311" s="3">
        <v>0.2</v>
      </c>
      <c r="E311" s="3">
        <v>750</v>
      </c>
      <c r="F311" s="3">
        <v>0</v>
      </c>
      <c r="G311" s="3">
        <v>0</v>
      </c>
      <c r="H311" s="3">
        <v>0</v>
      </c>
      <c r="I311" s="3">
        <v>0</v>
      </c>
      <c r="J311" s="4">
        <v>550000</v>
      </c>
      <c r="K311" s="4">
        <v>550000</v>
      </c>
      <c r="L311" s="3" t="s">
        <v>17</v>
      </c>
      <c r="M311" s="3" t="s">
        <v>234</v>
      </c>
      <c r="N311" s="2"/>
      <c r="O311" s="2"/>
      <c r="P311" s="3" t="str">
        <f>IF(OR(COUNTIF('ثبت لیبل'!$B$11:$B$1010,TRIM(LEFT(C311,FIND("-",C311&amp;"-")-1)))&gt;0,COUNTIF('ثبت لیبل'!$B$11:$B$1010,SUBSTITUTE(TRIM(LEFT(C311,FIND("-",C311&amp;"-")-1)),"GD",""))&gt;0),"موجود","")</f>
        <v/>
      </c>
    </row>
    <row r="312" spans="1:16">
      <c r="A312" s="3">
        <v>311</v>
      </c>
      <c r="B312" s="3" t="s">
        <v>232</v>
      </c>
      <c r="C312" s="3" t="s">
        <v>342</v>
      </c>
      <c r="D312" s="3">
        <v>0.2</v>
      </c>
      <c r="E312" s="3">
        <v>750</v>
      </c>
      <c r="F312" s="3">
        <v>0</v>
      </c>
      <c r="G312" s="3">
        <v>0</v>
      </c>
      <c r="H312" s="3">
        <v>0</v>
      </c>
      <c r="I312" s="3">
        <v>0</v>
      </c>
      <c r="J312" s="4">
        <v>550000</v>
      </c>
      <c r="K312" s="4">
        <v>550000</v>
      </c>
      <c r="L312" s="3" t="s">
        <v>17</v>
      </c>
      <c r="M312" s="3" t="s">
        <v>234</v>
      </c>
      <c r="N312" s="2"/>
      <c r="O312" s="2"/>
      <c r="P312" s="3" t="str">
        <f>IF(OR(COUNTIF('ثبت لیبل'!$B$11:$B$1010,TRIM(LEFT(C312,FIND("-",C312&amp;"-")-1)))&gt;0,COUNTIF('ثبت لیبل'!$B$11:$B$1010,SUBSTITUTE(TRIM(LEFT(C312,FIND("-",C312&amp;"-")-1)),"GD",""))&gt;0),"موجود","")</f>
        <v/>
      </c>
    </row>
    <row r="313" spans="1:16">
      <c r="A313" s="3">
        <v>312</v>
      </c>
      <c r="B313" s="3" t="s">
        <v>232</v>
      </c>
      <c r="C313" s="3" t="s">
        <v>343</v>
      </c>
      <c r="D313" s="3">
        <v>0.2</v>
      </c>
      <c r="E313" s="3">
        <v>750</v>
      </c>
      <c r="F313" s="3">
        <v>0</v>
      </c>
      <c r="G313" s="3">
        <v>0</v>
      </c>
      <c r="H313" s="3">
        <v>0</v>
      </c>
      <c r="I313" s="3">
        <v>0</v>
      </c>
      <c r="J313" s="4">
        <v>550000</v>
      </c>
      <c r="K313" s="4">
        <v>550000</v>
      </c>
      <c r="L313" s="3" t="s">
        <v>17</v>
      </c>
      <c r="M313" s="3" t="s">
        <v>234</v>
      </c>
      <c r="N313" s="2"/>
      <c r="O313" s="2"/>
      <c r="P313" s="3" t="str">
        <f>IF(OR(COUNTIF('ثبت لیبل'!$B$11:$B$1010,TRIM(LEFT(C313,FIND("-",C313&amp;"-")-1)))&gt;0,COUNTIF('ثبت لیبل'!$B$11:$B$1010,SUBSTITUTE(TRIM(LEFT(C313,FIND("-",C313&amp;"-")-1)),"GD",""))&gt;0),"موجود","")</f>
        <v/>
      </c>
    </row>
    <row r="314" spans="1:16">
      <c r="A314" s="3">
        <v>313</v>
      </c>
      <c r="B314" s="3" t="s">
        <v>15</v>
      </c>
      <c r="C314" s="3" t="s">
        <v>344</v>
      </c>
      <c r="D314" s="3">
        <v>1.76</v>
      </c>
      <c r="E314" s="3">
        <v>750</v>
      </c>
      <c r="F314" s="3">
        <v>19</v>
      </c>
      <c r="G314" s="2"/>
      <c r="H314" s="3">
        <v>0</v>
      </c>
      <c r="I314" s="2"/>
      <c r="J314" s="3">
        <v>0</v>
      </c>
      <c r="K314" s="2"/>
      <c r="L314" s="3" t="s">
        <v>17</v>
      </c>
      <c r="M314" s="3" t="s">
        <v>18</v>
      </c>
      <c r="N314" s="2"/>
      <c r="O314" s="2"/>
      <c r="P314" s="3" t="str">
        <f>IF(OR(COUNTIF('ثبت لیبل'!$B$11:$B$1010,TRIM(LEFT(C314,FIND("-",C314&amp;"-")-1)))&gt;0,COUNTIF('ثبت لیبل'!$B$11:$B$1010,SUBSTITUTE(TRIM(LEFT(C314,FIND("-",C314&amp;"-")-1)),"GD",""))&gt;0),"موجود","")</f>
        <v/>
      </c>
    </row>
    <row r="315" spans="1:16">
      <c r="A315" s="3">
        <v>314</v>
      </c>
      <c r="B315" s="3" t="s">
        <v>15</v>
      </c>
      <c r="C315" s="3" t="s">
        <v>345</v>
      </c>
      <c r="D315" s="3">
        <v>0.46</v>
      </c>
      <c r="E315" s="3">
        <v>750</v>
      </c>
      <c r="F315" s="3">
        <v>19</v>
      </c>
      <c r="G315" s="3">
        <v>19</v>
      </c>
      <c r="H315" s="3">
        <v>0</v>
      </c>
      <c r="I315" s="3">
        <v>0</v>
      </c>
      <c r="J315" s="3">
        <v>0</v>
      </c>
      <c r="K315" s="3">
        <v>0</v>
      </c>
      <c r="L315" s="3" t="s">
        <v>17</v>
      </c>
      <c r="M315" s="3" t="s">
        <v>46</v>
      </c>
      <c r="N315" s="2"/>
      <c r="O315" s="2"/>
      <c r="P315" s="3" t="str">
        <f>IF(OR(COUNTIF('ثبت لیبل'!$B$11:$B$1010,TRIM(LEFT(C315,FIND("-",C315&amp;"-")-1)))&gt;0,COUNTIF('ثبت لیبل'!$B$11:$B$1010,SUBSTITUTE(TRIM(LEFT(C315,FIND("-",C315&amp;"-")-1)),"GD",""))&gt;0),"موجود","")</f>
        <v/>
      </c>
    </row>
    <row r="316" spans="1:16">
      <c r="A316" s="3">
        <v>315</v>
      </c>
      <c r="B316" s="3" t="s">
        <v>15</v>
      </c>
      <c r="C316" s="3" t="s">
        <v>346</v>
      </c>
      <c r="D316" s="3">
        <v>0.94</v>
      </c>
      <c r="E316" s="3">
        <v>750</v>
      </c>
      <c r="F316" s="3">
        <v>19</v>
      </c>
      <c r="G316" s="2"/>
      <c r="H316" s="3">
        <v>0</v>
      </c>
      <c r="I316" s="2"/>
      <c r="J316" s="3">
        <v>0</v>
      </c>
      <c r="K316" s="2"/>
      <c r="L316" s="3" t="s">
        <v>17</v>
      </c>
      <c r="M316" s="3" t="s">
        <v>46</v>
      </c>
      <c r="N316" s="2"/>
      <c r="O316" s="2"/>
      <c r="P316" s="3" t="str">
        <f>IF(OR(COUNTIF('ثبت لیبل'!$B$11:$B$1010,TRIM(LEFT(C316,FIND("-",C316&amp;"-")-1)))&gt;0,COUNTIF('ثبت لیبل'!$B$11:$B$1010,SUBSTITUTE(TRIM(LEFT(C316,FIND("-",C316&amp;"-")-1)),"GD",""))&gt;0),"موجود","")</f>
        <v/>
      </c>
    </row>
    <row r="317" spans="1:16">
      <c r="A317" s="3">
        <v>316</v>
      </c>
      <c r="B317" s="3" t="s">
        <v>15</v>
      </c>
      <c r="C317" s="3" t="s">
        <v>347</v>
      </c>
      <c r="D317" s="3">
        <v>0.47</v>
      </c>
      <c r="E317" s="3">
        <v>750</v>
      </c>
      <c r="F317" s="3">
        <v>19</v>
      </c>
      <c r="G317" s="3">
        <v>19</v>
      </c>
      <c r="H317" s="3">
        <v>0</v>
      </c>
      <c r="I317" s="3">
        <v>0</v>
      </c>
      <c r="J317" s="3">
        <v>0</v>
      </c>
      <c r="K317" s="3">
        <v>0</v>
      </c>
      <c r="L317" s="3" t="s">
        <v>17</v>
      </c>
      <c r="M317" s="3" t="s">
        <v>46</v>
      </c>
      <c r="N317" s="2"/>
      <c r="O317" s="2"/>
      <c r="P317" s="3" t="str">
        <f>IF(OR(COUNTIF('ثبت لیبل'!$B$11:$B$1010,TRIM(LEFT(C317,FIND("-",C317&amp;"-")-1)))&gt;0,COUNTIF('ثبت لیبل'!$B$11:$B$1010,SUBSTITUTE(TRIM(LEFT(C317,FIND("-",C317&amp;"-")-1)),"GD",""))&gt;0),"موجود","")</f>
        <v/>
      </c>
    </row>
    <row r="318" spans="1:16">
      <c r="A318" s="3">
        <v>317</v>
      </c>
      <c r="B318" s="3" t="s">
        <v>15</v>
      </c>
      <c r="C318" s="3" t="s">
        <v>348</v>
      </c>
      <c r="D318" s="3">
        <v>0.94</v>
      </c>
      <c r="E318" s="3">
        <v>750</v>
      </c>
      <c r="F318" s="3">
        <v>19</v>
      </c>
      <c r="G318" s="3">
        <v>19</v>
      </c>
      <c r="H318" s="3">
        <v>0</v>
      </c>
      <c r="I318" s="3">
        <v>0</v>
      </c>
      <c r="J318" s="3">
        <v>0</v>
      </c>
      <c r="K318" s="3">
        <v>0</v>
      </c>
      <c r="L318" s="3" t="s">
        <v>17</v>
      </c>
      <c r="M318" s="3" t="s">
        <v>46</v>
      </c>
      <c r="N318" s="2"/>
      <c r="O318" s="2"/>
      <c r="P318" s="3" t="str">
        <f>IF(OR(COUNTIF('ثبت لیبل'!$B$11:$B$1010,TRIM(LEFT(C318,FIND("-",C318&amp;"-")-1)))&gt;0,COUNTIF('ثبت لیبل'!$B$11:$B$1010,SUBSTITUTE(TRIM(LEFT(C318,FIND("-",C318&amp;"-")-1)),"GD",""))&gt;0),"موجود","")</f>
        <v/>
      </c>
    </row>
    <row r="319" spans="1:16">
      <c r="A319" s="3">
        <v>318</v>
      </c>
      <c r="B319" s="3" t="s">
        <v>15</v>
      </c>
      <c r="C319" s="3" t="s">
        <v>349</v>
      </c>
      <c r="D319" s="3">
        <v>4.93</v>
      </c>
      <c r="E319" s="3">
        <v>750</v>
      </c>
      <c r="F319" s="3">
        <v>12</v>
      </c>
      <c r="G319" s="3">
        <v>12</v>
      </c>
      <c r="H319" s="3">
        <v>0</v>
      </c>
      <c r="I319" s="3">
        <v>0</v>
      </c>
      <c r="J319" s="3">
        <v>0</v>
      </c>
      <c r="K319" s="3">
        <v>0</v>
      </c>
      <c r="L319" s="3" t="s">
        <v>17</v>
      </c>
      <c r="M319" s="3" t="s">
        <v>60</v>
      </c>
      <c r="N319" s="2"/>
      <c r="O319" s="2"/>
      <c r="P319" s="3" t="str">
        <f>IF(OR(COUNTIF('ثبت لیبل'!$B$11:$B$1010,TRIM(LEFT(C319,FIND("-",C319&amp;"-")-1)))&gt;0,COUNTIF('ثبت لیبل'!$B$11:$B$1010,SUBSTITUTE(TRIM(LEFT(C319,FIND("-",C319&amp;"-")-1)),"GD",""))&gt;0),"موجود","")</f>
        <v/>
      </c>
    </row>
    <row r="320" spans="1:16">
      <c r="A320" s="3">
        <v>319</v>
      </c>
      <c r="B320" s="3" t="s">
        <v>15</v>
      </c>
      <c r="C320" s="3" t="s">
        <v>350</v>
      </c>
      <c r="D320" s="3">
        <v>1.24</v>
      </c>
      <c r="E320" s="3">
        <v>750</v>
      </c>
      <c r="F320" s="3">
        <v>12</v>
      </c>
      <c r="G320" s="3">
        <v>12</v>
      </c>
      <c r="H320" s="3">
        <v>0</v>
      </c>
      <c r="I320" s="3">
        <v>0</v>
      </c>
      <c r="J320" s="3">
        <v>0</v>
      </c>
      <c r="K320" s="3">
        <v>0</v>
      </c>
      <c r="L320" s="3" t="s">
        <v>17</v>
      </c>
      <c r="M320" s="3" t="s">
        <v>76</v>
      </c>
      <c r="N320" s="2"/>
      <c r="O320" s="2"/>
      <c r="P320" s="3" t="str">
        <f>IF(OR(COUNTIF('ثبت لیبل'!$B$11:$B$1010,TRIM(LEFT(C320,FIND("-",C320&amp;"-")-1)))&gt;0,COUNTIF('ثبت لیبل'!$B$11:$B$1010,SUBSTITUTE(TRIM(LEFT(C320,FIND("-",C320&amp;"-")-1)),"GD",""))&gt;0),"موجود","")</f>
        <v/>
      </c>
    </row>
    <row r="321" spans="1:16">
      <c r="A321" s="3">
        <v>320</v>
      </c>
      <c r="B321" s="3" t="s">
        <v>15</v>
      </c>
      <c r="C321" s="3" t="s">
        <v>351</v>
      </c>
      <c r="D321" s="3">
        <v>1.07</v>
      </c>
      <c r="E321" s="3">
        <v>750</v>
      </c>
      <c r="F321" s="3">
        <v>12</v>
      </c>
      <c r="G321" s="3">
        <v>12</v>
      </c>
      <c r="H321" s="3">
        <v>0</v>
      </c>
      <c r="I321" s="3">
        <v>0</v>
      </c>
      <c r="J321" s="3">
        <v>0</v>
      </c>
      <c r="K321" s="3">
        <v>0</v>
      </c>
      <c r="L321" s="3" t="s">
        <v>17</v>
      </c>
      <c r="M321" s="3" t="s">
        <v>76</v>
      </c>
      <c r="N321" s="2"/>
      <c r="O321" s="2"/>
      <c r="P321" s="3" t="str">
        <f>IF(OR(COUNTIF('ثبت لیبل'!$B$11:$B$1010,TRIM(LEFT(C321,FIND("-",C321&amp;"-")-1)))&gt;0,COUNTIF('ثبت لیبل'!$B$11:$B$1010,SUBSTITUTE(TRIM(LEFT(C321,FIND("-",C321&amp;"-")-1)),"GD",""))&gt;0),"موجود","")</f>
        <v/>
      </c>
    </row>
    <row r="322" spans="1:16">
      <c r="A322" s="3">
        <v>321</v>
      </c>
      <c r="B322" s="3" t="s">
        <v>15</v>
      </c>
      <c r="C322" s="3" t="s">
        <v>352</v>
      </c>
      <c r="D322" s="3">
        <v>2.04</v>
      </c>
      <c r="E322" s="3">
        <v>750</v>
      </c>
      <c r="F322" s="3">
        <v>12</v>
      </c>
      <c r="G322" s="3">
        <v>12</v>
      </c>
      <c r="H322" s="3">
        <v>0</v>
      </c>
      <c r="I322" s="3">
        <v>0</v>
      </c>
      <c r="J322" s="3">
        <v>0</v>
      </c>
      <c r="K322" s="3">
        <v>0</v>
      </c>
      <c r="L322" s="3" t="s">
        <v>17</v>
      </c>
      <c r="M322" s="3" t="s">
        <v>76</v>
      </c>
      <c r="N322" s="2"/>
      <c r="O322" s="2"/>
      <c r="P322" s="3" t="str">
        <f>IF(OR(COUNTIF('ثبت لیبل'!$B$11:$B$1010,TRIM(LEFT(C322,FIND("-",C322&amp;"-")-1)))&gt;0,COUNTIF('ثبت لیبل'!$B$11:$B$1010,SUBSTITUTE(TRIM(LEFT(C322,FIND("-",C322&amp;"-")-1)),"GD",""))&gt;0),"موجود","")</f>
        <v/>
      </c>
    </row>
    <row r="323" spans="1:16">
      <c r="A323" s="3">
        <v>322</v>
      </c>
      <c r="B323" s="3" t="s">
        <v>15</v>
      </c>
      <c r="C323" s="3" t="s">
        <v>353</v>
      </c>
      <c r="D323" s="3">
        <v>3.35</v>
      </c>
      <c r="E323" s="3">
        <v>750</v>
      </c>
      <c r="F323" s="3">
        <v>16</v>
      </c>
      <c r="G323" s="3">
        <v>16</v>
      </c>
      <c r="H323" s="3">
        <v>0</v>
      </c>
      <c r="I323" s="3">
        <v>0</v>
      </c>
      <c r="J323" s="3">
        <v>0</v>
      </c>
      <c r="K323" s="3">
        <v>0</v>
      </c>
      <c r="L323" s="3" t="s">
        <v>170</v>
      </c>
      <c r="M323" s="3" t="s">
        <v>354</v>
      </c>
      <c r="N323" s="2"/>
      <c r="O323" s="2"/>
      <c r="P323" s="3" t="str">
        <f>IF(OR(COUNTIF('ثبت لیبل'!$B$11:$B$1010,TRIM(LEFT(C323,FIND("-",C323&amp;"-")-1)))&gt;0,COUNTIF('ثبت لیبل'!$B$11:$B$1010,SUBSTITUTE(TRIM(LEFT(C323,FIND("-",C323&amp;"-")-1)),"GD",""))&gt;0),"موجود","")</f>
        <v/>
      </c>
    </row>
    <row r="324" spans="1:16">
      <c r="A324" s="3">
        <v>323</v>
      </c>
      <c r="B324" s="3" t="s">
        <v>15</v>
      </c>
      <c r="C324" s="3" t="s">
        <v>355</v>
      </c>
      <c r="D324" s="3">
        <v>4.26</v>
      </c>
      <c r="E324" s="3">
        <v>750</v>
      </c>
      <c r="F324" s="3">
        <v>12</v>
      </c>
      <c r="G324" s="3">
        <v>12</v>
      </c>
      <c r="H324" s="3">
        <v>0</v>
      </c>
      <c r="I324" s="3">
        <v>0</v>
      </c>
      <c r="J324" s="3">
        <v>0</v>
      </c>
      <c r="K324" s="3">
        <v>0</v>
      </c>
      <c r="L324" s="3" t="s">
        <v>17</v>
      </c>
      <c r="M324" s="3" t="s">
        <v>21</v>
      </c>
      <c r="N324" s="2"/>
      <c r="O324" s="2"/>
      <c r="P324" s="3" t="str">
        <f>IF(OR(COUNTIF('ثبت لیبل'!$B$11:$B$1010,TRIM(LEFT(C324,FIND("-",C324&amp;"-")-1)))&gt;0,COUNTIF('ثبت لیبل'!$B$11:$B$1010,SUBSTITUTE(TRIM(LEFT(C324,FIND("-",C324&amp;"-")-1)),"GD",""))&gt;0),"موجود","")</f>
        <v/>
      </c>
    </row>
    <row r="325" spans="1:16">
      <c r="A325" s="3">
        <v>324</v>
      </c>
      <c r="B325" s="3" t="s">
        <v>15</v>
      </c>
      <c r="C325" s="3" t="s">
        <v>356</v>
      </c>
      <c r="D325" s="3">
        <v>1.17</v>
      </c>
      <c r="E325" s="3">
        <v>750</v>
      </c>
      <c r="F325" s="3">
        <v>12</v>
      </c>
      <c r="G325" s="3">
        <v>12</v>
      </c>
      <c r="H325" s="3">
        <v>0</v>
      </c>
      <c r="I325" s="3">
        <v>0</v>
      </c>
      <c r="J325" s="3">
        <v>0</v>
      </c>
      <c r="K325" s="3">
        <v>0</v>
      </c>
      <c r="L325" s="3" t="s">
        <v>17</v>
      </c>
      <c r="M325" s="3" t="s">
        <v>76</v>
      </c>
      <c r="N325" s="2"/>
      <c r="O325" s="2"/>
      <c r="P325" s="3" t="str">
        <f>IF(OR(COUNTIF('ثبت لیبل'!$B$11:$B$1010,TRIM(LEFT(C325,FIND("-",C325&amp;"-")-1)))&gt;0,COUNTIF('ثبت لیبل'!$B$11:$B$1010,SUBSTITUTE(TRIM(LEFT(C325,FIND("-",C325&amp;"-")-1)),"GD",""))&gt;0),"موجود","")</f>
        <v/>
      </c>
    </row>
    <row r="326" spans="1:16">
      <c r="A326" s="3">
        <v>325</v>
      </c>
      <c r="B326" s="3" t="s">
        <v>15</v>
      </c>
      <c r="C326" s="3" t="s">
        <v>357</v>
      </c>
      <c r="D326" s="3">
        <v>1.45</v>
      </c>
      <c r="E326" s="3">
        <v>750</v>
      </c>
      <c r="F326" s="3">
        <v>12</v>
      </c>
      <c r="G326" s="3">
        <v>12</v>
      </c>
      <c r="H326" s="3">
        <v>0</v>
      </c>
      <c r="I326" s="3">
        <v>0</v>
      </c>
      <c r="J326" s="3">
        <v>0</v>
      </c>
      <c r="K326" s="3">
        <v>0</v>
      </c>
      <c r="L326" s="3" t="s">
        <v>20</v>
      </c>
      <c r="M326" s="3" t="s">
        <v>76</v>
      </c>
      <c r="N326" s="2"/>
      <c r="O326" s="2"/>
      <c r="P326" s="3" t="str">
        <f>IF(OR(COUNTIF('ثبت لیبل'!$B$11:$B$1010,TRIM(LEFT(C326,FIND("-",C326&amp;"-")-1)))&gt;0,COUNTIF('ثبت لیبل'!$B$11:$B$1010,SUBSTITUTE(TRIM(LEFT(C326,FIND("-",C326&amp;"-")-1)),"GD",""))&gt;0),"موجود","")</f>
        <v/>
      </c>
    </row>
    <row r="327" spans="1:16">
      <c r="A327" s="3">
        <v>326</v>
      </c>
      <c r="B327" s="3" t="s">
        <v>15</v>
      </c>
      <c r="C327" s="3" t="s">
        <v>358</v>
      </c>
      <c r="D327" s="3">
        <v>1.31</v>
      </c>
      <c r="E327" s="3">
        <v>750</v>
      </c>
      <c r="F327" s="3">
        <v>11</v>
      </c>
      <c r="G327" s="3">
        <v>11</v>
      </c>
      <c r="H327" s="3">
        <v>0</v>
      </c>
      <c r="I327" s="3">
        <v>0</v>
      </c>
      <c r="J327" s="3">
        <v>0</v>
      </c>
      <c r="K327" s="3">
        <v>0</v>
      </c>
      <c r="L327" s="3" t="s">
        <v>17</v>
      </c>
      <c r="M327" s="3" t="s">
        <v>76</v>
      </c>
      <c r="N327" s="2"/>
      <c r="O327" s="2"/>
      <c r="P327" s="3" t="str">
        <f>IF(OR(COUNTIF('ثبت لیبل'!$B$11:$B$1010,TRIM(LEFT(C327,FIND("-",C327&amp;"-")-1)))&gt;0,COUNTIF('ثبت لیبل'!$B$11:$B$1010,SUBSTITUTE(TRIM(LEFT(C327,FIND("-",C327&amp;"-")-1)),"GD",""))&gt;0),"موجود","")</f>
        <v/>
      </c>
    </row>
    <row r="328" spans="1:16">
      <c r="A328" s="3">
        <v>327</v>
      </c>
      <c r="B328" s="3" t="s">
        <v>15</v>
      </c>
      <c r="C328" s="3" t="s">
        <v>359</v>
      </c>
      <c r="D328" s="3">
        <v>2.02</v>
      </c>
      <c r="E328" s="3">
        <v>750</v>
      </c>
      <c r="F328" s="3">
        <v>12</v>
      </c>
      <c r="G328" s="3">
        <v>12</v>
      </c>
      <c r="H328" s="3">
        <v>0</v>
      </c>
      <c r="I328" s="3">
        <v>0</v>
      </c>
      <c r="J328" s="3">
        <v>0</v>
      </c>
      <c r="K328" s="3">
        <v>0</v>
      </c>
      <c r="L328" s="3" t="s">
        <v>17</v>
      </c>
      <c r="M328" s="3" t="s">
        <v>76</v>
      </c>
      <c r="N328" s="2"/>
      <c r="O328" s="2"/>
      <c r="P328" s="3" t="str">
        <f>IF(OR(COUNTIF('ثبت لیبل'!$B$11:$B$1010,TRIM(LEFT(C328,FIND("-",C328&amp;"-")-1)))&gt;0,COUNTIF('ثبت لیبل'!$B$11:$B$1010,SUBSTITUTE(TRIM(LEFT(C328,FIND("-",C328&amp;"-")-1)),"GD",""))&gt;0),"موجود","")</f>
        <v/>
      </c>
    </row>
    <row r="329" spans="1:16">
      <c r="A329" s="3">
        <v>328</v>
      </c>
      <c r="B329" s="3" t="s">
        <v>15</v>
      </c>
      <c r="C329" s="3" t="s">
        <v>360</v>
      </c>
      <c r="D329" s="3">
        <v>0.64</v>
      </c>
      <c r="E329" s="3">
        <v>750</v>
      </c>
      <c r="F329" s="3">
        <v>12</v>
      </c>
      <c r="G329" s="3">
        <v>12</v>
      </c>
      <c r="H329" s="3">
        <v>0</v>
      </c>
      <c r="I329" s="3">
        <v>0</v>
      </c>
      <c r="J329" s="3">
        <v>0</v>
      </c>
      <c r="K329" s="3">
        <v>0</v>
      </c>
      <c r="L329" s="3" t="s">
        <v>17</v>
      </c>
      <c r="M329" s="3" t="s">
        <v>76</v>
      </c>
      <c r="N329" s="2"/>
      <c r="O329" s="2"/>
      <c r="P329" s="3" t="str">
        <f>IF(OR(COUNTIF('ثبت لیبل'!$B$11:$B$1010,TRIM(LEFT(C329,FIND("-",C329&amp;"-")-1)))&gt;0,COUNTIF('ثبت لیبل'!$B$11:$B$1010,SUBSTITUTE(TRIM(LEFT(C329,FIND("-",C329&amp;"-")-1)),"GD",""))&gt;0),"موجود","")</f>
        <v/>
      </c>
    </row>
    <row r="330" spans="1:16">
      <c r="A330" s="3">
        <v>329</v>
      </c>
      <c r="B330" s="3" t="s">
        <v>15</v>
      </c>
      <c r="C330" s="3" t="s">
        <v>361</v>
      </c>
      <c r="D330" s="3">
        <v>1.42</v>
      </c>
      <c r="E330" s="3">
        <v>750</v>
      </c>
      <c r="F330" s="3">
        <v>11</v>
      </c>
      <c r="G330" s="3">
        <v>11</v>
      </c>
      <c r="H330" s="3">
        <v>0</v>
      </c>
      <c r="I330" s="3">
        <v>0</v>
      </c>
      <c r="J330" s="3">
        <v>0</v>
      </c>
      <c r="K330" s="3">
        <v>0</v>
      </c>
      <c r="L330" s="3" t="s">
        <v>17</v>
      </c>
      <c r="M330" s="3" t="s">
        <v>76</v>
      </c>
      <c r="N330" s="2"/>
      <c r="O330" s="2"/>
      <c r="P330" s="3" t="str">
        <f>IF(OR(COUNTIF('ثبت لیبل'!$B$11:$B$1010,TRIM(LEFT(C330,FIND("-",C330&amp;"-")-1)))&gt;0,COUNTIF('ثبت لیبل'!$B$11:$B$1010,SUBSTITUTE(TRIM(LEFT(C330,FIND("-",C330&amp;"-")-1)),"GD",""))&gt;0),"موجود","")</f>
        <v/>
      </c>
    </row>
    <row r="331" spans="1:16">
      <c r="A331" s="3">
        <v>330</v>
      </c>
      <c r="B331" s="3" t="s">
        <v>15</v>
      </c>
      <c r="C331" s="3" t="s">
        <v>362</v>
      </c>
      <c r="D331" s="3">
        <v>1.22</v>
      </c>
      <c r="E331" s="3">
        <v>750</v>
      </c>
      <c r="F331" s="3">
        <v>13</v>
      </c>
      <c r="G331" s="3">
        <v>13</v>
      </c>
      <c r="H331" s="3">
        <v>0</v>
      </c>
      <c r="I331" s="3">
        <v>0</v>
      </c>
      <c r="J331" s="3">
        <v>0</v>
      </c>
      <c r="K331" s="3">
        <v>0</v>
      </c>
      <c r="L331" s="3" t="s">
        <v>17</v>
      </c>
      <c r="M331" s="3" t="s">
        <v>76</v>
      </c>
      <c r="N331" s="2"/>
      <c r="O331" s="2"/>
      <c r="P331" s="3" t="str">
        <f>IF(OR(COUNTIF('ثبت لیبل'!$B$11:$B$1010,TRIM(LEFT(C331,FIND("-",C331&amp;"-")-1)))&gt;0,COUNTIF('ثبت لیبل'!$B$11:$B$1010,SUBSTITUTE(TRIM(LEFT(C331,FIND("-",C331&amp;"-")-1)),"GD",""))&gt;0),"موجود","")</f>
        <v/>
      </c>
    </row>
    <row r="332" spans="1:16">
      <c r="A332" s="3">
        <v>331</v>
      </c>
      <c r="B332" s="3" t="s">
        <v>15</v>
      </c>
      <c r="C332" s="3" t="s">
        <v>363</v>
      </c>
      <c r="D332" s="3">
        <v>1.3</v>
      </c>
      <c r="E332" s="3">
        <v>750</v>
      </c>
      <c r="F332" s="3">
        <v>12</v>
      </c>
      <c r="G332" s="3">
        <v>12</v>
      </c>
      <c r="H332" s="3">
        <v>0</v>
      </c>
      <c r="I332" s="3">
        <v>0</v>
      </c>
      <c r="J332" s="3">
        <v>0</v>
      </c>
      <c r="K332" s="3">
        <v>0</v>
      </c>
      <c r="L332" s="3" t="s">
        <v>17</v>
      </c>
      <c r="M332" s="3" t="s">
        <v>76</v>
      </c>
      <c r="N332" s="2"/>
      <c r="O332" s="2"/>
      <c r="P332" s="3" t="str">
        <f>IF(OR(COUNTIF('ثبت لیبل'!$B$11:$B$1010,TRIM(LEFT(C332,FIND("-",C332&amp;"-")-1)))&gt;0,COUNTIF('ثبت لیبل'!$B$11:$B$1010,SUBSTITUTE(TRIM(LEFT(C332,FIND("-",C332&amp;"-")-1)),"GD",""))&gt;0),"موجود","")</f>
        <v/>
      </c>
    </row>
    <row r="333" spans="1:16">
      <c r="A333" s="3">
        <v>332</v>
      </c>
      <c r="B333" s="3" t="s">
        <v>15</v>
      </c>
      <c r="C333" s="3" t="s">
        <v>364</v>
      </c>
      <c r="D333" s="3">
        <v>1.97</v>
      </c>
      <c r="E333" s="3">
        <v>750</v>
      </c>
      <c r="F333" s="3">
        <v>12</v>
      </c>
      <c r="G333" s="3">
        <v>12</v>
      </c>
      <c r="H333" s="3">
        <v>0</v>
      </c>
      <c r="I333" s="3">
        <v>0</v>
      </c>
      <c r="J333" s="3">
        <v>0</v>
      </c>
      <c r="K333" s="3">
        <v>0</v>
      </c>
      <c r="L333" s="3" t="s">
        <v>17</v>
      </c>
      <c r="M333" s="3" t="s">
        <v>76</v>
      </c>
      <c r="N333" s="2"/>
      <c r="O333" s="2"/>
      <c r="P333" s="3" t="str">
        <f>IF(OR(COUNTIF('ثبت لیبل'!$B$11:$B$1010,TRIM(LEFT(C333,FIND("-",C333&amp;"-")-1)))&gt;0,COUNTIF('ثبت لیبل'!$B$11:$B$1010,SUBSTITUTE(TRIM(LEFT(C333,FIND("-",C333&amp;"-")-1)),"GD",""))&gt;0),"موجود","")</f>
        <v/>
      </c>
    </row>
    <row r="334" spans="1:16">
      <c r="A334" s="3">
        <v>333</v>
      </c>
      <c r="B334" s="3" t="s">
        <v>15</v>
      </c>
      <c r="C334" s="3" t="s">
        <v>365</v>
      </c>
      <c r="D334" s="3">
        <v>1.52</v>
      </c>
      <c r="E334" s="3">
        <v>750</v>
      </c>
      <c r="F334" s="3">
        <v>12</v>
      </c>
      <c r="G334" s="3">
        <v>12</v>
      </c>
      <c r="H334" s="3">
        <v>0</v>
      </c>
      <c r="I334" s="3">
        <v>0</v>
      </c>
      <c r="J334" s="3">
        <v>0</v>
      </c>
      <c r="K334" s="3">
        <v>0</v>
      </c>
      <c r="L334" s="3" t="s">
        <v>17</v>
      </c>
      <c r="M334" s="3" t="s">
        <v>76</v>
      </c>
      <c r="N334" s="2"/>
      <c r="O334" s="2"/>
      <c r="P334" s="3" t="str">
        <f>IF(OR(COUNTIF('ثبت لیبل'!$B$11:$B$1010,TRIM(LEFT(C334,FIND("-",C334&amp;"-")-1)))&gt;0,COUNTIF('ثبت لیبل'!$B$11:$B$1010,SUBSTITUTE(TRIM(LEFT(C334,FIND("-",C334&amp;"-")-1)),"GD",""))&gt;0),"موجود","")</f>
        <v/>
      </c>
    </row>
    <row r="335" spans="1:16">
      <c r="A335" s="3">
        <v>334</v>
      </c>
      <c r="B335" s="3" t="s">
        <v>15</v>
      </c>
      <c r="C335" s="3" t="s">
        <v>366</v>
      </c>
      <c r="D335" s="3">
        <v>1.27</v>
      </c>
      <c r="E335" s="3">
        <v>750</v>
      </c>
      <c r="F335" s="3">
        <v>12</v>
      </c>
      <c r="G335" s="3">
        <v>12</v>
      </c>
      <c r="H335" s="3">
        <v>0</v>
      </c>
      <c r="I335" s="3">
        <v>0</v>
      </c>
      <c r="J335" s="3">
        <v>0</v>
      </c>
      <c r="K335" s="3">
        <v>0</v>
      </c>
      <c r="L335" s="3" t="s">
        <v>17</v>
      </c>
      <c r="M335" s="3" t="s">
        <v>76</v>
      </c>
      <c r="N335" s="2"/>
      <c r="O335" s="2"/>
      <c r="P335" s="3" t="str">
        <f>IF(OR(COUNTIF('ثبت لیبل'!$B$11:$B$1010,TRIM(LEFT(C335,FIND("-",C335&amp;"-")-1)))&gt;0,COUNTIF('ثبت لیبل'!$B$11:$B$1010,SUBSTITUTE(TRIM(LEFT(C335,FIND("-",C335&amp;"-")-1)),"GD",""))&gt;0),"موجود","")</f>
        <v/>
      </c>
    </row>
    <row r="336" spans="1:16">
      <c r="A336" s="3">
        <v>335</v>
      </c>
      <c r="B336" s="3" t="s">
        <v>15</v>
      </c>
      <c r="C336" s="3" t="s">
        <v>367</v>
      </c>
      <c r="D336" s="3">
        <v>0.83</v>
      </c>
      <c r="E336" s="3">
        <v>750</v>
      </c>
      <c r="F336" s="3">
        <v>19</v>
      </c>
      <c r="G336" s="3">
        <v>19</v>
      </c>
      <c r="H336" s="3">
        <v>0</v>
      </c>
      <c r="I336" s="3">
        <v>0</v>
      </c>
      <c r="J336" s="3">
        <v>0</v>
      </c>
      <c r="K336" s="3">
        <v>0</v>
      </c>
      <c r="L336" s="3" t="s">
        <v>17</v>
      </c>
      <c r="M336" s="3" t="s">
        <v>46</v>
      </c>
      <c r="N336" s="2"/>
      <c r="O336" s="2"/>
      <c r="P336" s="3" t="str">
        <f>IF(OR(COUNTIF('ثبت لیبل'!$B$11:$B$1010,TRIM(LEFT(C336,FIND("-",C336&amp;"-")-1)))&gt;0,COUNTIF('ثبت لیبل'!$B$11:$B$1010,SUBSTITUTE(TRIM(LEFT(C336,FIND("-",C336&amp;"-")-1)),"GD",""))&gt;0),"موجود","")</f>
        <v/>
      </c>
    </row>
    <row r="337" spans="1:16">
      <c r="A337" s="3">
        <v>336</v>
      </c>
      <c r="B337" s="3" t="s">
        <v>15</v>
      </c>
      <c r="C337" s="3" t="s">
        <v>368</v>
      </c>
      <c r="D337" s="3">
        <v>0.63</v>
      </c>
      <c r="E337" s="3">
        <v>750</v>
      </c>
      <c r="F337" s="3">
        <v>12</v>
      </c>
      <c r="G337" s="3">
        <v>12</v>
      </c>
      <c r="H337" s="3">
        <v>0</v>
      </c>
      <c r="I337" s="3">
        <v>0</v>
      </c>
      <c r="J337" s="3">
        <v>0</v>
      </c>
      <c r="K337" s="3">
        <v>0</v>
      </c>
      <c r="L337" s="3" t="s">
        <v>17</v>
      </c>
      <c r="M337" s="3" t="s">
        <v>43</v>
      </c>
      <c r="N337" s="2"/>
      <c r="O337" s="2"/>
      <c r="P337" s="3" t="str">
        <f>IF(OR(COUNTIF('ثبت لیبل'!$B$11:$B$1010,TRIM(LEFT(C337,FIND("-",C337&amp;"-")-1)))&gt;0,COUNTIF('ثبت لیبل'!$B$11:$B$1010,SUBSTITUTE(TRIM(LEFT(C337,FIND("-",C337&amp;"-")-1)),"GD",""))&gt;0),"موجود","")</f>
        <v/>
      </c>
    </row>
    <row r="338" spans="1:16">
      <c r="A338" s="3">
        <v>337</v>
      </c>
      <c r="B338" s="3" t="s">
        <v>15</v>
      </c>
      <c r="C338" s="3" t="s">
        <v>369</v>
      </c>
      <c r="D338" s="3">
        <v>0.86</v>
      </c>
      <c r="E338" s="3">
        <v>750</v>
      </c>
      <c r="F338" s="3">
        <v>19</v>
      </c>
      <c r="G338" s="3">
        <v>19</v>
      </c>
      <c r="H338" s="3">
        <v>0</v>
      </c>
      <c r="I338" s="3">
        <v>0</v>
      </c>
      <c r="J338" s="3">
        <v>0</v>
      </c>
      <c r="K338" s="3">
        <v>0</v>
      </c>
      <c r="L338" s="3" t="s">
        <v>17</v>
      </c>
      <c r="M338" s="3" t="s">
        <v>18</v>
      </c>
      <c r="N338" s="2"/>
      <c r="O338" s="2"/>
      <c r="P338" s="3" t="str">
        <f>IF(OR(COUNTIF('ثبت لیبل'!$B$11:$B$1010,TRIM(LEFT(C338,FIND("-",C338&amp;"-")-1)))&gt;0,COUNTIF('ثبت لیبل'!$B$11:$B$1010,SUBSTITUTE(TRIM(LEFT(C338,FIND("-",C338&amp;"-")-1)),"GD",""))&gt;0),"موجود","")</f>
        <v/>
      </c>
    </row>
    <row r="339" spans="1:16">
      <c r="A339" s="3">
        <v>338</v>
      </c>
      <c r="B339" s="3" t="s">
        <v>15</v>
      </c>
      <c r="C339" s="3" t="s">
        <v>370</v>
      </c>
      <c r="D339" s="3">
        <v>1.22</v>
      </c>
      <c r="E339" s="3">
        <v>750</v>
      </c>
      <c r="F339" s="3">
        <v>19</v>
      </c>
      <c r="G339" s="3">
        <v>19</v>
      </c>
      <c r="H339" s="3">
        <v>0</v>
      </c>
      <c r="I339" s="3">
        <v>0</v>
      </c>
      <c r="J339" s="3">
        <v>0</v>
      </c>
      <c r="K339" s="3">
        <v>0</v>
      </c>
      <c r="L339" s="3" t="s">
        <v>17</v>
      </c>
      <c r="M339" s="3" t="s">
        <v>46</v>
      </c>
      <c r="N339" s="2"/>
      <c r="O339" s="2"/>
      <c r="P339" s="3" t="str">
        <f>IF(OR(COUNTIF('ثبت لیبل'!$B$11:$B$1010,TRIM(LEFT(C339,FIND("-",C339&amp;"-")-1)))&gt;0,COUNTIF('ثبت لیبل'!$B$11:$B$1010,SUBSTITUTE(TRIM(LEFT(C339,FIND("-",C339&amp;"-")-1)),"GD",""))&gt;0),"موجود","")</f>
        <v/>
      </c>
    </row>
    <row r="340" spans="1:16">
      <c r="A340" s="3">
        <v>339</v>
      </c>
      <c r="B340" s="3" t="s">
        <v>15</v>
      </c>
      <c r="C340" s="3" t="s">
        <v>371</v>
      </c>
      <c r="D340" s="3">
        <v>0.83</v>
      </c>
      <c r="E340" s="3">
        <v>750</v>
      </c>
      <c r="F340" s="3">
        <v>19</v>
      </c>
      <c r="G340" s="3">
        <v>19</v>
      </c>
      <c r="H340" s="3">
        <v>0</v>
      </c>
      <c r="I340" s="3">
        <v>0</v>
      </c>
      <c r="J340" s="3">
        <v>0</v>
      </c>
      <c r="K340" s="3">
        <v>0</v>
      </c>
      <c r="L340" s="3" t="s">
        <v>17</v>
      </c>
      <c r="M340" s="3" t="s">
        <v>46</v>
      </c>
      <c r="N340" s="2"/>
      <c r="O340" s="2"/>
      <c r="P340" s="3" t="str">
        <f>IF(OR(COUNTIF('ثبت لیبل'!$B$11:$B$1010,TRIM(LEFT(C340,FIND("-",C340&amp;"-")-1)))&gt;0,COUNTIF('ثبت لیبل'!$B$11:$B$1010,SUBSTITUTE(TRIM(LEFT(C340,FIND("-",C340&amp;"-")-1)),"GD",""))&gt;0),"موجود","")</f>
        <v/>
      </c>
    </row>
    <row r="341" spans="1:16">
      <c r="A341" s="3">
        <v>340</v>
      </c>
      <c r="B341" s="3" t="s">
        <v>15</v>
      </c>
      <c r="C341" s="3" t="s">
        <v>372</v>
      </c>
      <c r="D341" s="3">
        <v>0.84</v>
      </c>
      <c r="E341" s="3">
        <v>750</v>
      </c>
      <c r="F341" s="3">
        <v>19</v>
      </c>
      <c r="G341" s="3">
        <v>19</v>
      </c>
      <c r="H341" s="3">
        <v>0</v>
      </c>
      <c r="I341" s="3">
        <v>0</v>
      </c>
      <c r="J341" s="3">
        <v>0</v>
      </c>
      <c r="K341" s="3">
        <v>0</v>
      </c>
      <c r="L341" s="3" t="s">
        <v>17</v>
      </c>
      <c r="M341" s="3" t="s">
        <v>46</v>
      </c>
      <c r="N341" s="2"/>
      <c r="O341" s="2"/>
      <c r="P341" s="3" t="str">
        <f>IF(OR(COUNTIF('ثبت لیبل'!$B$11:$B$1010,TRIM(LEFT(C341,FIND("-",C341&amp;"-")-1)))&gt;0,COUNTIF('ثبت لیبل'!$B$11:$B$1010,SUBSTITUTE(TRIM(LEFT(C341,FIND("-",C341&amp;"-")-1)),"GD",""))&gt;0),"موجود","")</f>
        <v/>
      </c>
    </row>
    <row r="342" spans="1:16">
      <c r="A342" s="3">
        <v>341</v>
      </c>
      <c r="B342" s="3" t="s">
        <v>15</v>
      </c>
      <c r="C342" s="3" t="s">
        <v>373</v>
      </c>
      <c r="D342" s="3">
        <v>0.63</v>
      </c>
      <c r="E342" s="3">
        <v>750</v>
      </c>
      <c r="F342" s="3">
        <v>12</v>
      </c>
      <c r="G342" s="3">
        <v>12</v>
      </c>
      <c r="H342" s="3">
        <v>0</v>
      </c>
      <c r="I342" s="3">
        <v>0</v>
      </c>
      <c r="J342" s="3">
        <v>0</v>
      </c>
      <c r="K342" s="3">
        <v>0</v>
      </c>
      <c r="L342" s="3" t="s">
        <v>17</v>
      </c>
      <c r="M342" s="3" t="s">
        <v>43</v>
      </c>
      <c r="N342" s="2"/>
      <c r="O342" s="2"/>
      <c r="P342" s="3" t="str">
        <f>IF(OR(COUNTIF('ثبت لیبل'!$B$11:$B$1010,TRIM(LEFT(C342,FIND("-",C342&amp;"-")-1)))&gt;0,COUNTIF('ثبت لیبل'!$B$11:$B$1010,SUBSTITUTE(TRIM(LEFT(C342,FIND("-",C342&amp;"-")-1)),"GD",""))&gt;0),"موجود","")</f>
        <v/>
      </c>
    </row>
    <row r="343" spans="1:16">
      <c r="A343" s="3">
        <v>342</v>
      </c>
      <c r="B343" s="3" t="s">
        <v>15</v>
      </c>
      <c r="C343" s="3" t="s">
        <v>374</v>
      </c>
      <c r="D343" s="3">
        <v>0.68</v>
      </c>
      <c r="E343" s="3">
        <v>750</v>
      </c>
      <c r="F343" s="3">
        <v>12</v>
      </c>
      <c r="G343" s="3">
        <v>12</v>
      </c>
      <c r="H343" s="3">
        <v>0</v>
      </c>
      <c r="I343" s="3">
        <v>0</v>
      </c>
      <c r="J343" s="3">
        <v>0</v>
      </c>
      <c r="K343" s="3">
        <v>0</v>
      </c>
      <c r="L343" s="3" t="s">
        <v>17</v>
      </c>
      <c r="M343" s="3" t="s">
        <v>43</v>
      </c>
      <c r="N343" s="2"/>
      <c r="O343" s="2"/>
      <c r="P343" s="3" t="str">
        <f>IF(OR(COUNTIF('ثبت لیبل'!$B$11:$B$1010,TRIM(LEFT(C343,FIND("-",C343&amp;"-")-1)))&gt;0,COUNTIF('ثبت لیبل'!$B$11:$B$1010,SUBSTITUTE(TRIM(LEFT(C343,FIND("-",C343&amp;"-")-1)),"GD",""))&gt;0),"موجود","")</f>
        <v/>
      </c>
    </row>
    <row r="344" spans="1:16">
      <c r="A344" s="3">
        <v>343</v>
      </c>
      <c r="B344" s="3" t="s">
        <v>15</v>
      </c>
      <c r="C344" s="3" t="s">
        <v>375</v>
      </c>
      <c r="D344" s="3">
        <v>0.85</v>
      </c>
      <c r="E344" s="3">
        <v>750</v>
      </c>
      <c r="F344" s="3">
        <v>11</v>
      </c>
      <c r="G344" s="3">
        <v>11</v>
      </c>
      <c r="H344" s="3">
        <v>0</v>
      </c>
      <c r="I344" s="3">
        <v>0</v>
      </c>
      <c r="J344" s="3">
        <v>0</v>
      </c>
      <c r="K344" s="3">
        <v>0</v>
      </c>
      <c r="L344" s="3" t="s">
        <v>17</v>
      </c>
      <c r="M344" s="3" t="s">
        <v>21</v>
      </c>
      <c r="N344" s="2"/>
      <c r="O344" s="2"/>
      <c r="P344" s="3" t="str">
        <f>IF(OR(COUNTIF('ثبت لیبل'!$B$11:$B$1010,TRIM(LEFT(C344,FIND("-",C344&amp;"-")-1)))&gt;0,COUNTIF('ثبت لیبل'!$B$11:$B$1010,SUBSTITUTE(TRIM(LEFT(C344,FIND("-",C344&amp;"-")-1)),"GD",""))&gt;0),"موجود","")</f>
        <v/>
      </c>
    </row>
    <row r="345" spans="1:16">
      <c r="A345" s="3">
        <v>344</v>
      </c>
      <c r="B345" s="3" t="s">
        <v>15</v>
      </c>
      <c r="C345" s="3" t="s">
        <v>376</v>
      </c>
      <c r="D345" s="3">
        <v>0.83</v>
      </c>
      <c r="E345" s="3">
        <v>750</v>
      </c>
      <c r="F345" s="3">
        <v>19</v>
      </c>
      <c r="G345" s="3">
        <v>19</v>
      </c>
      <c r="H345" s="3">
        <v>0</v>
      </c>
      <c r="I345" s="3">
        <v>0</v>
      </c>
      <c r="J345" s="3">
        <v>0</v>
      </c>
      <c r="K345" s="3">
        <v>0</v>
      </c>
      <c r="L345" s="3" t="s">
        <v>17</v>
      </c>
      <c r="M345" s="3" t="s">
        <v>46</v>
      </c>
      <c r="N345" s="2"/>
      <c r="O345" s="2"/>
      <c r="P345" s="3" t="str">
        <f>IF(OR(COUNTIF('ثبت لیبل'!$B$11:$B$1010,TRIM(LEFT(C345,FIND("-",C345&amp;"-")-1)))&gt;0,COUNTIF('ثبت لیبل'!$B$11:$B$1010,SUBSTITUTE(TRIM(LEFT(C345,FIND("-",C345&amp;"-")-1)),"GD",""))&gt;0),"موجود","")</f>
        <v/>
      </c>
    </row>
    <row r="346" spans="1:16">
      <c r="A346" s="3">
        <v>345</v>
      </c>
      <c r="B346" s="3" t="s">
        <v>15</v>
      </c>
      <c r="C346" s="3" t="s">
        <v>377</v>
      </c>
      <c r="D346" s="3">
        <v>0.98</v>
      </c>
      <c r="E346" s="3">
        <v>750</v>
      </c>
      <c r="F346" s="3">
        <v>17</v>
      </c>
      <c r="G346" s="3">
        <v>17</v>
      </c>
      <c r="H346" s="3">
        <v>0</v>
      </c>
      <c r="I346" s="3">
        <v>0</v>
      </c>
      <c r="J346" s="3">
        <v>0</v>
      </c>
      <c r="K346" s="3">
        <v>0</v>
      </c>
      <c r="L346" s="3" t="s">
        <v>17</v>
      </c>
      <c r="M346" s="3" t="s">
        <v>46</v>
      </c>
      <c r="N346" s="2"/>
      <c r="O346" s="2"/>
      <c r="P346" s="3" t="str">
        <f>IF(OR(COUNTIF('ثبت لیبل'!$B$11:$B$1010,TRIM(LEFT(C346,FIND("-",C346&amp;"-")-1)))&gt;0,COUNTIF('ثبت لیبل'!$B$11:$B$1010,SUBSTITUTE(TRIM(LEFT(C346,FIND("-",C346&amp;"-")-1)),"GD",""))&gt;0),"موجود","")</f>
        <v/>
      </c>
    </row>
    <row r="347" spans="1:16">
      <c r="A347" s="3">
        <v>346</v>
      </c>
      <c r="B347" s="3" t="s">
        <v>15</v>
      </c>
      <c r="C347" s="3" t="s">
        <v>378</v>
      </c>
      <c r="D347" s="3">
        <v>1.2</v>
      </c>
      <c r="E347" s="3">
        <v>750</v>
      </c>
      <c r="F347" s="3">
        <v>19</v>
      </c>
      <c r="G347" s="3">
        <v>19</v>
      </c>
      <c r="H347" s="3">
        <v>0</v>
      </c>
      <c r="I347" s="3">
        <v>0</v>
      </c>
      <c r="J347" s="3">
        <v>0</v>
      </c>
      <c r="K347" s="3">
        <v>0</v>
      </c>
      <c r="L347" s="3" t="s">
        <v>17</v>
      </c>
      <c r="M347" s="3" t="s">
        <v>46</v>
      </c>
      <c r="N347" s="2"/>
      <c r="O347" s="2"/>
      <c r="P347" s="3" t="str">
        <f>IF(OR(COUNTIF('ثبت لیبل'!$B$11:$B$1010,TRIM(LEFT(C347,FIND("-",C347&amp;"-")-1)))&gt;0,COUNTIF('ثبت لیبل'!$B$11:$B$1010,SUBSTITUTE(TRIM(LEFT(C347,FIND("-",C347&amp;"-")-1)),"GD",""))&gt;0),"موجود","")</f>
        <v/>
      </c>
    </row>
    <row r="348" spans="1:16">
      <c r="A348" s="3">
        <v>347</v>
      </c>
      <c r="B348" s="3" t="s">
        <v>15</v>
      </c>
      <c r="C348" s="3" t="s">
        <v>379</v>
      </c>
      <c r="D348" s="3">
        <v>0.89</v>
      </c>
      <c r="E348" s="3">
        <v>750</v>
      </c>
      <c r="F348" s="3">
        <v>11</v>
      </c>
      <c r="G348" s="3">
        <v>11</v>
      </c>
      <c r="H348" s="3">
        <v>0</v>
      </c>
      <c r="I348" s="3">
        <v>0</v>
      </c>
      <c r="J348" s="3">
        <v>0</v>
      </c>
      <c r="K348" s="3">
        <v>0</v>
      </c>
      <c r="L348" s="3" t="s">
        <v>17</v>
      </c>
      <c r="M348" s="3" t="s">
        <v>60</v>
      </c>
      <c r="N348" s="2"/>
      <c r="O348" s="2"/>
      <c r="P348" s="3" t="str">
        <f>IF(OR(COUNTIF('ثبت لیبل'!$B$11:$B$1010,TRIM(LEFT(C348,FIND("-",C348&amp;"-")-1)))&gt;0,COUNTIF('ثبت لیبل'!$B$11:$B$1010,SUBSTITUTE(TRIM(LEFT(C348,FIND("-",C348&amp;"-")-1)),"GD",""))&gt;0),"موجود","")</f>
        <v/>
      </c>
    </row>
    <row r="349" spans="1:16">
      <c r="A349" s="3">
        <v>348</v>
      </c>
      <c r="B349" s="3" t="s">
        <v>15</v>
      </c>
      <c r="C349" s="3" t="s">
        <v>380</v>
      </c>
      <c r="D349" s="3">
        <v>0.77</v>
      </c>
      <c r="E349" s="3">
        <v>750</v>
      </c>
      <c r="F349" s="3">
        <v>11</v>
      </c>
      <c r="G349" s="3">
        <v>11</v>
      </c>
      <c r="H349" s="3">
        <v>0</v>
      </c>
      <c r="I349" s="3">
        <v>0</v>
      </c>
      <c r="J349" s="3">
        <v>0</v>
      </c>
      <c r="K349" s="3">
        <v>0</v>
      </c>
      <c r="L349" s="3" t="s">
        <v>17</v>
      </c>
      <c r="M349" s="3" t="s">
        <v>60</v>
      </c>
      <c r="N349" s="2"/>
      <c r="O349" s="2"/>
      <c r="P349" s="3" t="str">
        <f>IF(OR(COUNTIF('ثبت لیبل'!$B$11:$B$1010,TRIM(LEFT(C349,FIND("-",C349&amp;"-")-1)))&gt;0,COUNTIF('ثبت لیبل'!$B$11:$B$1010,SUBSTITUTE(TRIM(LEFT(C349,FIND("-",C349&amp;"-")-1)),"GD",""))&gt;0),"موجود","")</f>
        <v/>
      </c>
    </row>
    <row r="350" spans="1:16">
      <c r="A350" s="3">
        <v>349</v>
      </c>
      <c r="B350" s="3" t="s">
        <v>15</v>
      </c>
      <c r="C350" s="3" t="s">
        <v>381</v>
      </c>
      <c r="D350" s="3">
        <v>0.77</v>
      </c>
      <c r="E350" s="3">
        <v>750</v>
      </c>
      <c r="F350" s="3">
        <v>11</v>
      </c>
      <c r="G350" s="3">
        <v>11</v>
      </c>
      <c r="H350" s="3">
        <v>0</v>
      </c>
      <c r="I350" s="3">
        <v>0</v>
      </c>
      <c r="J350" s="3">
        <v>0</v>
      </c>
      <c r="K350" s="3">
        <v>0</v>
      </c>
      <c r="L350" s="3" t="s">
        <v>17</v>
      </c>
      <c r="M350" s="3" t="s">
        <v>76</v>
      </c>
      <c r="N350" s="2"/>
      <c r="O350" s="2"/>
      <c r="P350" s="3" t="str">
        <f>IF(OR(COUNTIF('ثبت لیبل'!$B$11:$B$1010,TRIM(LEFT(C350,FIND("-",C350&amp;"-")-1)))&gt;0,COUNTIF('ثبت لیبل'!$B$11:$B$1010,SUBSTITUTE(TRIM(LEFT(C350,FIND("-",C350&amp;"-")-1)),"GD",""))&gt;0),"موجود","")</f>
        <v/>
      </c>
    </row>
    <row r="351" spans="1:16">
      <c r="A351" s="3">
        <v>350</v>
      </c>
      <c r="B351" s="3" t="s">
        <v>15</v>
      </c>
      <c r="C351" s="3" t="s">
        <v>382</v>
      </c>
      <c r="D351" s="3">
        <v>0.92</v>
      </c>
      <c r="E351" s="3">
        <v>750</v>
      </c>
      <c r="F351" s="3">
        <v>11</v>
      </c>
      <c r="G351" s="3">
        <v>11</v>
      </c>
      <c r="H351" s="3">
        <v>0</v>
      </c>
      <c r="I351" s="3">
        <v>0</v>
      </c>
      <c r="J351" s="3">
        <v>0</v>
      </c>
      <c r="K351" s="3">
        <v>0</v>
      </c>
      <c r="L351" s="3" t="s">
        <v>17</v>
      </c>
      <c r="M351" s="3" t="s">
        <v>76</v>
      </c>
      <c r="N351" s="2"/>
      <c r="O351" s="2"/>
      <c r="P351" s="3" t="str">
        <f>IF(OR(COUNTIF('ثبت لیبل'!$B$11:$B$1010,TRIM(LEFT(C351,FIND("-",C351&amp;"-")-1)))&gt;0,COUNTIF('ثبت لیبل'!$B$11:$B$1010,SUBSTITUTE(TRIM(LEFT(C351,FIND("-",C351&amp;"-")-1)),"GD",""))&gt;0),"موجود","")</f>
        <v/>
      </c>
    </row>
    <row r="352" spans="1:16">
      <c r="A352" s="3">
        <v>351</v>
      </c>
      <c r="B352" s="3" t="s">
        <v>15</v>
      </c>
      <c r="C352" s="3" t="s">
        <v>383</v>
      </c>
      <c r="D352" s="3">
        <v>0.97</v>
      </c>
      <c r="E352" s="3">
        <v>750</v>
      </c>
      <c r="F352" s="3">
        <v>11</v>
      </c>
      <c r="G352" s="3">
        <v>11</v>
      </c>
      <c r="H352" s="3">
        <v>0</v>
      </c>
      <c r="I352" s="3">
        <v>0</v>
      </c>
      <c r="J352" s="3">
        <v>0</v>
      </c>
      <c r="K352" s="3">
        <v>0</v>
      </c>
      <c r="L352" s="3" t="s">
        <v>17</v>
      </c>
      <c r="M352" s="3" t="s">
        <v>76</v>
      </c>
      <c r="N352" s="2"/>
      <c r="O352" s="2"/>
      <c r="P352" s="3" t="str">
        <f>IF(OR(COUNTIF('ثبت لیبل'!$B$11:$B$1010,TRIM(LEFT(C352,FIND("-",C352&amp;"-")-1)))&gt;0,COUNTIF('ثبت لیبل'!$B$11:$B$1010,SUBSTITUTE(TRIM(LEFT(C352,FIND("-",C352&amp;"-")-1)),"GD",""))&gt;0),"موجود","")</f>
        <v/>
      </c>
    </row>
    <row r="353" spans="1:16">
      <c r="A353" s="3">
        <v>352</v>
      </c>
      <c r="B353" s="3" t="s">
        <v>15</v>
      </c>
      <c r="C353" s="3" t="s">
        <v>384</v>
      </c>
      <c r="D353" s="3">
        <v>0.39</v>
      </c>
      <c r="E353" s="3">
        <v>750</v>
      </c>
      <c r="F353" s="3">
        <v>13</v>
      </c>
      <c r="G353" s="3">
        <v>13</v>
      </c>
      <c r="H353" s="3">
        <v>0</v>
      </c>
      <c r="I353" s="3">
        <v>0</v>
      </c>
      <c r="J353" s="3">
        <v>0</v>
      </c>
      <c r="K353" s="3">
        <v>0</v>
      </c>
      <c r="L353" s="3" t="s">
        <v>17</v>
      </c>
      <c r="M353" s="3" t="s">
        <v>114</v>
      </c>
      <c r="N353" s="2"/>
      <c r="O353" s="2"/>
      <c r="P353" s="3" t="str">
        <f>IF(OR(COUNTIF('ثبت لیبل'!$B$11:$B$1010,TRIM(LEFT(C353,FIND("-",C353&amp;"-")-1)))&gt;0,COUNTIF('ثبت لیبل'!$B$11:$B$1010,SUBSTITUTE(TRIM(LEFT(C353,FIND("-",C353&amp;"-")-1)),"GD",""))&gt;0),"موجود","")</f>
        <v/>
      </c>
    </row>
    <row r="354" spans="1:16">
      <c r="A354" s="3">
        <v>353</v>
      </c>
      <c r="B354" s="3" t="s">
        <v>15</v>
      </c>
      <c r="C354" s="3" t="s">
        <v>385</v>
      </c>
      <c r="D354" s="3">
        <v>1.22</v>
      </c>
      <c r="E354" s="3">
        <v>750</v>
      </c>
      <c r="F354" s="3">
        <v>13</v>
      </c>
      <c r="G354" s="3">
        <v>13</v>
      </c>
      <c r="H354" s="3">
        <v>0</v>
      </c>
      <c r="I354" s="3">
        <v>0</v>
      </c>
      <c r="J354" s="3">
        <v>0</v>
      </c>
      <c r="K354" s="3">
        <v>0</v>
      </c>
      <c r="L354" s="3" t="s">
        <v>17</v>
      </c>
      <c r="M354" s="3" t="s">
        <v>114</v>
      </c>
      <c r="N354" s="2"/>
      <c r="O354" s="2"/>
      <c r="P354" s="3" t="str">
        <f>IF(OR(COUNTIF('ثبت لیبل'!$B$11:$B$1010,TRIM(LEFT(C354,FIND("-",C354&amp;"-")-1)))&gt;0,COUNTIF('ثبت لیبل'!$B$11:$B$1010,SUBSTITUTE(TRIM(LEFT(C354,FIND("-",C354&amp;"-")-1)),"GD",""))&gt;0),"موجود","")</f>
        <v/>
      </c>
    </row>
    <row r="355" spans="1:16">
      <c r="A355" s="3">
        <v>354</v>
      </c>
      <c r="B355" s="3" t="s">
        <v>15</v>
      </c>
      <c r="C355" s="3" t="s">
        <v>386</v>
      </c>
      <c r="D355" s="3">
        <v>1.3</v>
      </c>
      <c r="E355" s="3">
        <v>750</v>
      </c>
      <c r="F355" s="3">
        <v>13</v>
      </c>
      <c r="G355" s="3">
        <v>13</v>
      </c>
      <c r="H355" s="3">
        <v>0</v>
      </c>
      <c r="I355" s="3">
        <v>0</v>
      </c>
      <c r="J355" s="3">
        <v>0</v>
      </c>
      <c r="K355" s="3">
        <v>0</v>
      </c>
      <c r="L355" s="3" t="s">
        <v>17</v>
      </c>
      <c r="M355" s="3" t="s">
        <v>46</v>
      </c>
      <c r="N355" s="2"/>
      <c r="O355" s="2"/>
      <c r="P355" s="3" t="str">
        <f>IF(OR(COUNTIF('ثبت لیبل'!$B$11:$B$1010,TRIM(LEFT(C355,FIND("-",C355&amp;"-")-1)))&gt;0,COUNTIF('ثبت لیبل'!$B$11:$B$1010,SUBSTITUTE(TRIM(LEFT(C355,FIND("-",C355&amp;"-")-1)),"GD",""))&gt;0),"موجود","")</f>
        <v/>
      </c>
    </row>
    <row r="356" spans="1:16">
      <c r="A356" s="3">
        <v>355</v>
      </c>
      <c r="B356" s="3" t="s">
        <v>15</v>
      </c>
      <c r="C356" s="3" t="s">
        <v>387</v>
      </c>
      <c r="D356" s="3">
        <v>1.34</v>
      </c>
      <c r="E356" s="3">
        <v>750</v>
      </c>
      <c r="F356" s="3">
        <v>13</v>
      </c>
      <c r="G356" s="3">
        <v>13</v>
      </c>
      <c r="H356" s="3">
        <v>0</v>
      </c>
      <c r="I356" s="3">
        <v>0</v>
      </c>
      <c r="J356" s="3">
        <v>0</v>
      </c>
      <c r="K356" s="3">
        <v>0</v>
      </c>
      <c r="L356" s="3" t="s">
        <v>20</v>
      </c>
      <c r="M356" s="3" t="s">
        <v>60</v>
      </c>
      <c r="N356" s="2"/>
      <c r="O356" s="2"/>
      <c r="P356" s="3" t="str">
        <f>IF(OR(COUNTIF('ثبت لیبل'!$B$11:$B$1010,TRIM(LEFT(C356,FIND("-",C356&amp;"-")-1)))&gt;0,COUNTIF('ثبت لیبل'!$B$11:$B$1010,SUBSTITUTE(TRIM(LEFT(C356,FIND("-",C356&amp;"-")-1)),"GD",""))&gt;0),"موجود","")</f>
        <v/>
      </c>
    </row>
    <row r="357" spans="1:16">
      <c r="A357" s="3">
        <v>356</v>
      </c>
      <c r="B357" s="3" t="s">
        <v>15</v>
      </c>
      <c r="C357" s="3" t="s">
        <v>388</v>
      </c>
      <c r="D357" s="3">
        <v>1.61</v>
      </c>
      <c r="E357" s="3">
        <v>750</v>
      </c>
      <c r="F357" s="3">
        <v>12</v>
      </c>
      <c r="G357" s="3">
        <v>12</v>
      </c>
      <c r="H357" s="3">
        <v>0</v>
      </c>
      <c r="I357" s="3">
        <v>0</v>
      </c>
      <c r="J357" s="3">
        <v>0</v>
      </c>
      <c r="K357" s="3">
        <v>0</v>
      </c>
      <c r="L357" s="3" t="s">
        <v>17</v>
      </c>
      <c r="M357" s="3" t="s">
        <v>21</v>
      </c>
      <c r="N357" s="2"/>
      <c r="O357" s="2"/>
      <c r="P357" s="3" t="str">
        <f>IF(OR(COUNTIF('ثبت لیبل'!$B$11:$B$1010,TRIM(LEFT(C357,FIND("-",C357&amp;"-")-1)))&gt;0,COUNTIF('ثبت لیبل'!$B$11:$B$1010,SUBSTITUTE(TRIM(LEFT(C357,FIND("-",C357&amp;"-")-1)),"GD",""))&gt;0),"موجود","")</f>
        <v/>
      </c>
    </row>
    <row r="358" spans="1:16">
      <c r="A358" s="3">
        <v>357</v>
      </c>
      <c r="B358" s="3" t="s">
        <v>15</v>
      </c>
      <c r="C358" s="3" t="s">
        <v>389</v>
      </c>
      <c r="D358" s="3">
        <v>1.18</v>
      </c>
      <c r="E358" s="3">
        <v>750</v>
      </c>
      <c r="F358" s="3">
        <v>13</v>
      </c>
      <c r="G358" s="3">
        <v>13</v>
      </c>
      <c r="H358" s="3">
        <v>0</v>
      </c>
      <c r="I358" s="3">
        <v>0</v>
      </c>
      <c r="J358" s="3">
        <v>0</v>
      </c>
      <c r="K358" s="3">
        <v>0</v>
      </c>
      <c r="L358" s="3" t="s">
        <v>17</v>
      </c>
      <c r="M358" s="3" t="s">
        <v>114</v>
      </c>
      <c r="N358" s="2"/>
      <c r="O358" s="2"/>
      <c r="P358" s="3" t="str">
        <f>IF(OR(COUNTIF('ثبت لیبل'!$B$11:$B$1010,TRIM(LEFT(C358,FIND("-",C358&amp;"-")-1)))&gt;0,COUNTIF('ثبت لیبل'!$B$11:$B$1010,SUBSTITUTE(TRIM(LEFT(C358,FIND("-",C358&amp;"-")-1)),"GD",""))&gt;0),"موجود","")</f>
        <v/>
      </c>
    </row>
    <row r="359" spans="1:16">
      <c r="A359" s="3">
        <v>358</v>
      </c>
      <c r="B359" s="3" t="s">
        <v>15</v>
      </c>
      <c r="C359" s="3" t="s">
        <v>390</v>
      </c>
      <c r="D359" s="3">
        <v>1.35</v>
      </c>
      <c r="E359" s="3">
        <v>750</v>
      </c>
      <c r="F359" s="3">
        <v>12</v>
      </c>
      <c r="G359" s="3">
        <v>12</v>
      </c>
      <c r="H359" s="3">
        <v>0</v>
      </c>
      <c r="I359" s="3">
        <v>0</v>
      </c>
      <c r="J359" s="3">
        <v>0</v>
      </c>
      <c r="K359" s="3">
        <v>0</v>
      </c>
      <c r="L359" s="3" t="s">
        <v>17</v>
      </c>
      <c r="M359" s="3" t="s">
        <v>18</v>
      </c>
      <c r="N359" s="2"/>
      <c r="O359" s="2"/>
      <c r="P359" s="3" t="str">
        <f>IF(OR(COUNTIF('ثبت لیبل'!$B$11:$B$1010,TRIM(LEFT(C359,FIND("-",C359&amp;"-")-1)))&gt;0,COUNTIF('ثبت لیبل'!$B$11:$B$1010,SUBSTITUTE(TRIM(LEFT(C359,FIND("-",C359&amp;"-")-1)),"GD",""))&gt;0),"موجود","")</f>
        <v/>
      </c>
    </row>
    <row r="360" spans="1:16">
      <c r="A360" s="3">
        <v>359</v>
      </c>
      <c r="B360" s="3" t="s">
        <v>15</v>
      </c>
      <c r="C360" s="3" t="s">
        <v>391</v>
      </c>
      <c r="D360" s="3">
        <v>0.69</v>
      </c>
      <c r="E360" s="3">
        <v>750</v>
      </c>
      <c r="F360" s="3">
        <v>12</v>
      </c>
      <c r="G360" s="3">
        <v>12</v>
      </c>
      <c r="H360" s="3">
        <v>0</v>
      </c>
      <c r="I360" s="3">
        <v>0</v>
      </c>
      <c r="J360" s="3">
        <v>0</v>
      </c>
      <c r="K360" s="3">
        <v>0</v>
      </c>
      <c r="L360" s="3" t="s">
        <v>17</v>
      </c>
      <c r="M360" s="3" t="s">
        <v>21</v>
      </c>
      <c r="N360" s="2"/>
      <c r="O360" s="2"/>
      <c r="P360" s="3" t="str">
        <f>IF(OR(COUNTIF('ثبت لیبل'!$B$11:$B$1010,TRIM(LEFT(C360,FIND("-",C360&amp;"-")-1)))&gt;0,COUNTIF('ثبت لیبل'!$B$11:$B$1010,SUBSTITUTE(TRIM(LEFT(C360,FIND("-",C360&amp;"-")-1)),"GD",""))&gt;0),"موجود","")</f>
        <v/>
      </c>
    </row>
    <row r="361" spans="1:16">
      <c r="A361" s="3">
        <v>360</v>
      </c>
      <c r="B361" s="3" t="s">
        <v>15</v>
      </c>
      <c r="C361" s="3" t="s">
        <v>392</v>
      </c>
      <c r="D361" s="3">
        <v>0.59</v>
      </c>
      <c r="E361" s="3">
        <v>750</v>
      </c>
      <c r="F361" s="3">
        <v>12</v>
      </c>
      <c r="G361" s="3">
        <v>12</v>
      </c>
      <c r="H361" s="3">
        <v>0</v>
      </c>
      <c r="I361" s="3">
        <v>0</v>
      </c>
      <c r="J361" s="3">
        <v>0</v>
      </c>
      <c r="K361" s="3">
        <v>0</v>
      </c>
      <c r="L361" s="3" t="s">
        <v>17</v>
      </c>
      <c r="M361" s="3" t="s">
        <v>21</v>
      </c>
      <c r="N361" s="2"/>
      <c r="O361" s="2"/>
      <c r="P361" s="3" t="str">
        <f>IF(OR(COUNTIF('ثبت لیبل'!$B$11:$B$1010,TRIM(LEFT(C361,FIND("-",C361&amp;"-")-1)))&gt;0,COUNTIF('ثبت لیبل'!$B$11:$B$1010,SUBSTITUTE(TRIM(LEFT(C361,FIND("-",C361&amp;"-")-1)),"GD",""))&gt;0),"موجود","")</f>
        <v/>
      </c>
    </row>
    <row r="362" spans="1:16">
      <c r="A362" s="3">
        <v>361</v>
      </c>
      <c r="B362" s="3" t="s">
        <v>15</v>
      </c>
      <c r="C362" s="3" t="s">
        <v>393</v>
      </c>
      <c r="D362" s="3">
        <v>1.1599999999999999</v>
      </c>
      <c r="E362" s="3">
        <v>750</v>
      </c>
      <c r="F362" s="3">
        <v>19</v>
      </c>
      <c r="G362" s="3">
        <v>19</v>
      </c>
      <c r="H362" s="3">
        <v>0</v>
      </c>
      <c r="I362" s="3">
        <v>0</v>
      </c>
      <c r="J362" s="3">
        <v>0</v>
      </c>
      <c r="K362" s="3">
        <v>0</v>
      </c>
      <c r="L362" s="3" t="s">
        <v>17</v>
      </c>
      <c r="M362" s="3" t="s">
        <v>18</v>
      </c>
      <c r="N362" s="2"/>
      <c r="O362" s="2"/>
      <c r="P362" s="3" t="str">
        <f>IF(OR(COUNTIF('ثبت لیبل'!$B$11:$B$1010,TRIM(LEFT(C362,FIND("-",C362&amp;"-")-1)))&gt;0,COUNTIF('ثبت لیبل'!$B$11:$B$1010,SUBSTITUTE(TRIM(LEFT(C362,FIND("-",C362&amp;"-")-1)),"GD",""))&gt;0),"موجود","")</f>
        <v/>
      </c>
    </row>
    <row r="363" spans="1:16">
      <c r="A363" s="3">
        <v>362</v>
      </c>
      <c r="B363" s="3" t="s">
        <v>15</v>
      </c>
      <c r="C363" s="3" t="s">
        <v>394</v>
      </c>
      <c r="D363" s="3">
        <v>1.06</v>
      </c>
      <c r="E363" s="3">
        <v>750</v>
      </c>
      <c r="F363" s="3">
        <v>19</v>
      </c>
      <c r="G363" s="3">
        <v>19</v>
      </c>
      <c r="H363" s="3">
        <v>0</v>
      </c>
      <c r="I363" s="3">
        <v>0</v>
      </c>
      <c r="J363" s="3">
        <v>0</v>
      </c>
      <c r="K363" s="3">
        <v>0</v>
      </c>
      <c r="L363" s="3" t="s">
        <v>17</v>
      </c>
      <c r="M363" s="3" t="s">
        <v>18</v>
      </c>
      <c r="N363" s="2"/>
      <c r="O363" s="2"/>
      <c r="P363" s="3" t="str">
        <f>IF(OR(COUNTIF('ثبت لیبل'!$B$11:$B$1010,TRIM(LEFT(C363,FIND("-",C363&amp;"-")-1)))&gt;0,COUNTIF('ثبت لیبل'!$B$11:$B$1010,SUBSTITUTE(TRIM(LEFT(C363,FIND("-",C363&amp;"-")-1)),"GD",""))&gt;0),"موجود","")</f>
        <v/>
      </c>
    </row>
    <row r="364" spans="1:16">
      <c r="A364" s="3">
        <v>363</v>
      </c>
      <c r="B364" s="3" t="s">
        <v>15</v>
      </c>
      <c r="C364" s="3" t="s">
        <v>395</v>
      </c>
      <c r="D364" s="3">
        <v>1.25</v>
      </c>
      <c r="E364" s="3">
        <v>750</v>
      </c>
      <c r="F364" s="3">
        <v>13</v>
      </c>
      <c r="G364" s="3">
        <v>13</v>
      </c>
      <c r="H364" s="3">
        <v>0</v>
      </c>
      <c r="I364" s="3">
        <v>0</v>
      </c>
      <c r="J364" s="3">
        <v>0</v>
      </c>
      <c r="K364" s="3">
        <v>0</v>
      </c>
      <c r="L364" s="3" t="s">
        <v>17</v>
      </c>
      <c r="M364" s="3" t="s">
        <v>46</v>
      </c>
      <c r="N364" s="2"/>
      <c r="O364" s="2"/>
      <c r="P364" s="3" t="str">
        <f>IF(OR(COUNTIF('ثبت لیبل'!$B$11:$B$1010,TRIM(LEFT(C364,FIND("-",C364&amp;"-")-1)))&gt;0,COUNTIF('ثبت لیبل'!$B$11:$B$1010,SUBSTITUTE(TRIM(LEFT(C364,FIND("-",C364&amp;"-")-1)),"GD",""))&gt;0),"موجود","")</f>
        <v/>
      </c>
    </row>
    <row r="365" spans="1:16">
      <c r="A365" s="3">
        <v>364</v>
      </c>
      <c r="B365" s="3" t="s">
        <v>15</v>
      </c>
      <c r="C365" s="3" t="s">
        <v>396</v>
      </c>
      <c r="D365" s="3">
        <v>0.77</v>
      </c>
      <c r="E365" s="3">
        <v>750</v>
      </c>
      <c r="F365" s="3">
        <v>13</v>
      </c>
      <c r="G365" s="3">
        <v>13</v>
      </c>
      <c r="H365" s="3">
        <v>0</v>
      </c>
      <c r="I365" s="3">
        <v>0</v>
      </c>
      <c r="J365" s="3">
        <v>0</v>
      </c>
      <c r="K365" s="3">
        <v>0</v>
      </c>
      <c r="L365" s="3" t="s">
        <v>17</v>
      </c>
      <c r="M365" s="3" t="s">
        <v>114</v>
      </c>
      <c r="N365" s="2"/>
      <c r="O365" s="2"/>
      <c r="P365" s="3" t="str">
        <f>IF(OR(COUNTIF('ثبت لیبل'!$B$11:$B$1010,TRIM(LEFT(C365,FIND("-",C365&amp;"-")-1)))&gt;0,COUNTIF('ثبت لیبل'!$B$11:$B$1010,SUBSTITUTE(TRIM(LEFT(C365,FIND("-",C365&amp;"-")-1)),"GD",""))&gt;0),"موجود","")</f>
        <v/>
      </c>
    </row>
    <row r="366" spans="1:16">
      <c r="A366" s="3">
        <v>365</v>
      </c>
      <c r="B366" s="3" t="s">
        <v>15</v>
      </c>
      <c r="C366" s="3" t="s">
        <v>397</v>
      </c>
      <c r="D366" s="3">
        <v>7.16</v>
      </c>
      <c r="E366" s="3">
        <v>750</v>
      </c>
      <c r="F366" s="3">
        <v>13</v>
      </c>
      <c r="G366" s="3">
        <v>13</v>
      </c>
      <c r="H366" s="3">
        <v>0</v>
      </c>
      <c r="I366" s="3">
        <v>0</v>
      </c>
      <c r="J366" s="3">
        <v>0</v>
      </c>
      <c r="K366" s="3">
        <v>0</v>
      </c>
      <c r="L366" s="3" t="s">
        <v>20</v>
      </c>
      <c r="M366" s="3" t="s">
        <v>114</v>
      </c>
      <c r="N366" s="2"/>
      <c r="O366" s="2"/>
      <c r="P366" s="3" t="str">
        <f>IF(OR(COUNTIF('ثبت لیبل'!$B$11:$B$1010,TRIM(LEFT(C366,FIND("-",C366&amp;"-")-1)))&gt;0,COUNTIF('ثبت لیبل'!$B$11:$B$1010,SUBSTITUTE(TRIM(LEFT(C366,FIND("-",C366&amp;"-")-1)),"GD",""))&gt;0),"موجود","")</f>
        <v/>
      </c>
    </row>
    <row r="367" spans="1:16">
      <c r="A367" s="3">
        <v>366</v>
      </c>
      <c r="B367" s="3" t="s">
        <v>15</v>
      </c>
      <c r="C367" s="3" t="s">
        <v>398</v>
      </c>
      <c r="D367" s="3">
        <v>1.26</v>
      </c>
      <c r="E367" s="3">
        <v>750</v>
      </c>
      <c r="F367" s="3">
        <v>13</v>
      </c>
      <c r="G367" s="3">
        <v>13</v>
      </c>
      <c r="H367" s="3">
        <v>0</v>
      </c>
      <c r="I367" s="3">
        <v>0</v>
      </c>
      <c r="J367" s="3">
        <v>0</v>
      </c>
      <c r="K367" s="3">
        <v>0</v>
      </c>
      <c r="L367" s="3" t="s">
        <v>17</v>
      </c>
      <c r="M367" s="3" t="s">
        <v>114</v>
      </c>
      <c r="N367" s="2"/>
      <c r="O367" s="2"/>
      <c r="P367" s="3" t="str">
        <f>IF(OR(COUNTIF('ثبت لیبل'!$B$11:$B$1010,TRIM(LEFT(C367,FIND("-",C367&amp;"-")-1)))&gt;0,COUNTIF('ثبت لیبل'!$B$11:$B$1010,SUBSTITUTE(TRIM(LEFT(C367,FIND("-",C367&amp;"-")-1)),"GD",""))&gt;0),"موجود","")</f>
        <v/>
      </c>
    </row>
    <row r="368" spans="1:16">
      <c r="A368" s="3">
        <v>367</v>
      </c>
      <c r="B368" s="3" t="s">
        <v>15</v>
      </c>
      <c r="C368" s="3" t="s">
        <v>399</v>
      </c>
      <c r="D368" s="3">
        <v>1.04</v>
      </c>
      <c r="E368" s="3">
        <v>750</v>
      </c>
      <c r="F368" s="3">
        <v>13</v>
      </c>
      <c r="G368" s="3">
        <v>13</v>
      </c>
      <c r="H368" s="3">
        <v>0</v>
      </c>
      <c r="I368" s="3">
        <v>0</v>
      </c>
      <c r="J368" s="3">
        <v>0</v>
      </c>
      <c r="K368" s="3">
        <v>0</v>
      </c>
      <c r="L368" s="3" t="s">
        <v>20</v>
      </c>
      <c r="M368" s="3" t="s">
        <v>46</v>
      </c>
      <c r="N368" s="2"/>
      <c r="O368" s="2"/>
      <c r="P368" s="3" t="str">
        <f>IF(OR(COUNTIF('ثبت لیبل'!$B$11:$B$1010,TRIM(LEFT(C368,FIND("-",C368&amp;"-")-1)))&gt;0,COUNTIF('ثبت لیبل'!$B$11:$B$1010,SUBSTITUTE(TRIM(LEFT(C368,FIND("-",C368&amp;"-")-1)),"GD",""))&gt;0),"موجود","")</f>
        <v/>
      </c>
    </row>
    <row r="369" spans="1:16">
      <c r="A369" s="3">
        <v>368</v>
      </c>
      <c r="B369" s="3" t="s">
        <v>15</v>
      </c>
      <c r="C369" s="3" t="s">
        <v>400</v>
      </c>
      <c r="D369" s="3">
        <v>0.74</v>
      </c>
      <c r="E369" s="3">
        <v>750</v>
      </c>
      <c r="F369" s="3">
        <v>12</v>
      </c>
      <c r="G369" s="3">
        <v>12</v>
      </c>
      <c r="H369" s="3">
        <v>0</v>
      </c>
      <c r="I369" s="3">
        <v>0</v>
      </c>
      <c r="J369" s="3">
        <v>0</v>
      </c>
      <c r="K369" s="3">
        <v>0</v>
      </c>
      <c r="L369" s="3" t="s">
        <v>17</v>
      </c>
      <c r="M369" s="3" t="s">
        <v>46</v>
      </c>
      <c r="N369" s="2"/>
      <c r="O369" s="2"/>
      <c r="P369" s="3" t="str">
        <f>IF(OR(COUNTIF('ثبت لیبل'!$B$11:$B$1010,TRIM(LEFT(C369,FIND("-",C369&amp;"-")-1)))&gt;0,COUNTIF('ثبت لیبل'!$B$11:$B$1010,SUBSTITUTE(TRIM(LEFT(C369,FIND("-",C369&amp;"-")-1)),"GD",""))&gt;0),"موجود","")</f>
        <v/>
      </c>
    </row>
    <row r="370" spans="1:16">
      <c r="A370" s="3">
        <v>369</v>
      </c>
      <c r="B370" s="3" t="s">
        <v>15</v>
      </c>
      <c r="C370" s="3" t="s">
        <v>401</v>
      </c>
      <c r="D370" s="3">
        <v>0.64</v>
      </c>
      <c r="E370" s="3">
        <v>750</v>
      </c>
      <c r="F370" s="3">
        <v>12</v>
      </c>
      <c r="G370" s="3">
        <v>12</v>
      </c>
      <c r="H370" s="3">
        <v>0</v>
      </c>
      <c r="I370" s="3">
        <v>0</v>
      </c>
      <c r="J370" s="3">
        <v>0</v>
      </c>
      <c r="K370" s="3">
        <v>0</v>
      </c>
      <c r="L370" s="3" t="s">
        <v>17</v>
      </c>
      <c r="M370" s="3" t="s">
        <v>46</v>
      </c>
      <c r="N370" s="2"/>
      <c r="O370" s="2"/>
      <c r="P370" s="3" t="str">
        <f>IF(OR(COUNTIF('ثبت لیبل'!$B$11:$B$1010,TRIM(LEFT(C370,FIND("-",C370&amp;"-")-1)))&gt;0,COUNTIF('ثبت لیبل'!$B$11:$B$1010,SUBSTITUTE(TRIM(LEFT(C370,FIND("-",C370&amp;"-")-1)),"GD",""))&gt;0),"موجود","")</f>
        <v/>
      </c>
    </row>
    <row r="371" spans="1:16">
      <c r="A371" s="3">
        <v>370</v>
      </c>
      <c r="B371" s="3" t="s">
        <v>15</v>
      </c>
      <c r="C371" s="3" t="s">
        <v>402</v>
      </c>
      <c r="D371" s="3">
        <v>0.75</v>
      </c>
      <c r="E371" s="3">
        <v>750</v>
      </c>
      <c r="F371" s="3">
        <v>12</v>
      </c>
      <c r="G371" s="3">
        <v>12</v>
      </c>
      <c r="H371" s="3">
        <v>0</v>
      </c>
      <c r="I371" s="3">
        <v>0</v>
      </c>
      <c r="J371" s="3">
        <v>0</v>
      </c>
      <c r="K371" s="3">
        <v>0</v>
      </c>
      <c r="L371" s="3" t="s">
        <v>17</v>
      </c>
      <c r="M371" s="3" t="s">
        <v>46</v>
      </c>
      <c r="N371" s="2"/>
      <c r="O371" s="2"/>
      <c r="P371" s="3" t="str">
        <f>IF(OR(COUNTIF('ثبت لیبل'!$B$11:$B$1010,TRIM(LEFT(C371,FIND("-",C371&amp;"-")-1)))&gt;0,COUNTIF('ثبت لیبل'!$B$11:$B$1010,SUBSTITUTE(TRIM(LEFT(C371,FIND("-",C371&amp;"-")-1)),"GD",""))&gt;0),"موجود","")</f>
        <v/>
      </c>
    </row>
    <row r="372" spans="1:16">
      <c r="A372" s="3">
        <v>371</v>
      </c>
      <c r="B372" s="3" t="s">
        <v>15</v>
      </c>
      <c r="C372" s="3" t="s">
        <v>403</v>
      </c>
      <c r="D372" s="3">
        <v>0.56999999999999995</v>
      </c>
      <c r="E372" s="3">
        <v>750</v>
      </c>
      <c r="F372" s="3">
        <v>12</v>
      </c>
      <c r="G372" s="3">
        <v>12</v>
      </c>
      <c r="H372" s="3">
        <v>0</v>
      </c>
      <c r="I372" s="3">
        <v>0</v>
      </c>
      <c r="J372" s="3">
        <v>0</v>
      </c>
      <c r="K372" s="3">
        <v>0</v>
      </c>
      <c r="L372" s="3" t="s">
        <v>17</v>
      </c>
      <c r="M372" s="3" t="s">
        <v>21</v>
      </c>
      <c r="N372" s="2"/>
      <c r="O372" s="2"/>
      <c r="P372" s="3" t="str">
        <f>IF(OR(COUNTIF('ثبت لیبل'!$B$11:$B$1010,TRIM(LEFT(C372,FIND("-",C372&amp;"-")-1)))&gt;0,COUNTIF('ثبت لیبل'!$B$11:$B$1010,SUBSTITUTE(TRIM(LEFT(C372,FIND("-",C372&amp;"-")-1)),"GD",""))&gt;0),"موجود","")</f>
        <v/>
      </c>
    </row>
    <row r="373" spans="1:16">
      <c r="A373" s="3">
        <v>372</v>
      </c>
      <c r="B373" s="3" t="s">
        <v>15</v>
      </c>
      <c r="C373" s="3" t="s">
        <v>404</v>
      </c>
      <c r="D373" s="3">
        <v>1</v>
      </c>
      <c r="E373" s="3">
        <v>750</v>
      </c>
      <c r="F373" s="3">
        <v>12</v>
      </c>
      <c r="G373" s="3">
        <v>12</v>
      </c>
      <c r="H373" s="3">
        <v>0</v>
      </c>
      <c r="I373" s="3">
        <v>0</v>
      </c>
      <c r="J373" s="3">
        <v>0</v>
      </c>
      <c r="K373" s="3">
        <v>0</v>
      </c>
      <c r="L373" s="3" t="s">
        <v>17</v>
      </c>
      <c r="M373" s="3" t="s">
        <v>60</v>
      </c>
      <c r="N373" s="2"/>
      <c r="O373" s="2"/>
      <c r="P373" s="3" t="str">
        <f>IF(OR(COUNTIF('ثبت لیبل'!$B$11:$B$1010,TRIM(LEFT(C373,FIND("-",C373&amp;"-")-1)))&gt;0,COUNTIF('ثبت لیبل'!$B$11:$B$1010,SUBSTITUTE(TRIM(LEFT(C373,FIND("-",C373&amp;"-")-1)),"GD",""))&gt;0),"موجود","")</f>
        <v/>
      </c>
    </row>
    <row r="374" spans="1:16">
      <c r="A374" s="3">
        <v>373</v>
      </c>
      <c r="B374" s="3" t="s">
        <v>15</v>
      </c>
      <c r="C374" s="3" t="s">
        <v>405</v>
      </c>
      <c r="D374" s="3">
        <v>0.75</v>
      </c>
      <c r="E374" s="3">
        <v>750</v>
      </c>
      <c r="F374" s="3">
        <v>13</v>
      </c>
      <c r="G374" s="3">
        <v>13</v>
      </c>
      <c r="H374" s="3">
        <v>0</v>
      </c>
      <c r="I374" s="3">
        <v>0</v>
      </c>
      <c r="J374" s="3">
        <v>0</v>
      </c>
      <c r="K374" s="3">
        <v>0</v>
      </c>
      <c r="L374" s="3" t="s">
        <v>17</v>
      </c>
      <c r="M374" s="3" t="s">
        <v>114</v>
      </c>
      <c r="N374" s="2"/>
      <c r="O374" s="2"/>
      <c r="P374" s="3" t="str">
        <f>IF(OR(COUNTIF('ثبت لیبل'!$B$11:$B$1010,TRIM(LEFT(C374,FIND("-",C374&amp;"-")-1)))&gt;0,COUNTIF('ثبت لیبل'!$B$11:$B$1010,SUBSTITUTE(TRIM(LEFT(C374,FIND("-",C374&amp;"-")-1)),"GD",""))&gt;0),"موجود","")</f>
        <v/>
      </c>
    </row>
    <row r="375" spans="1:16">
      <c r="A375" s="3">
        <v>374</v>
      </c>
      <c r="B375" s="3" t="s">
        <v>15</v>
      </c>
      <c r="C375" s="3" t="s">
        <v>406</v>
      </c>
      <c r="D375" s="3">
        <v>0.52</v>
      </c>
      <c r="E375" s="3">
        <v>750</v>
      </c>
      <c r="F375" s="3">
        <v>12</v>
      </c>
      <c r="G375" s="3">
        <v>12</v>
      </c>
      <c r="H375" s="3">
        <v>0</v>
      </c>
      <c r="I375" s="3">
        <v>0</v>
      </c>
      <c r="J375" s="3">
        <v>0</v>
      </c>
      <c r="K375" s="3">
        <v>0</v>
      </c>
      <c r="L375" s="3" t="s">
        <v>17</v>
      </c>
      <c r="M375" s="3" t="s">
        <v>21</v>
      </c>
      <c r="N375" s="2"/>
      <c r="O375" s="2"/>
      <c r="P375" s="3" t="str">
        <f>IF(OR(COUNTIF('ثبت لیبل'!$B$11:$B$1010,TRIM(LEFT(C375,FIND("-",C375&amp;"-")-1)))&gt;0,COUNTIF('ثبت لیبل'!$B$11:$B$1010,SUBSTITUTE(TRIM(LEFT(C375,FIND("-",C375&amp;"-")-1)),"GD",""))&gt;0),"موجود","")</f>
        <v/>
      </c>
    </row>
    <row r="376" spans="1:16">
      <c r="A376" s="3">
        <v>375</v>
      </c>
      <c r="B376" s="3" t="s">
        <v>15</v>
      </c>
      <c r="C376" s="3" t="s">
        <v>407</v>
      </c>
      <c r="D376" s="3">
        <v>0.57999999999999996</v>
      </c>
      <c r="E376" s="3">
        <v>750</v>
      </c>
      <c r="F376" s="3">
        <v>12</v>
      </c>
      <c r="G376" s="3">
        <v>12</v>
      </c>
      <c r="H376" s="3">
        <v>0</v>
      </c>
      <c r="I376" s="3">
        <v>0</v>
      </c>
      <c r="J376" s="3">
        <v>0</v>
      </c>
      <c r="K376" s="3">
        <v>0</v>
      </c>
      <c r="L376" s="3" t="s">
        <v>17</v>
      </c>
      <c r="M376" s="3" t="s">
        <v>21</v>
      </c>
      <c r="N376" s="2"/>
      <c r="O376" s="2"/>
      <c r="P376" s="3" t="str">
        <f>IF(OR(COUNTIF('ثبت لیبل'!$B$11:$B$1010,TRIM(LEFT(C376,FIND("-",C376&amp;"-")-1)))&gt;0,COUNTIF('ثبت لیبل'!$B$11:$B$1010,SUBSTITUTE(TRIM(LEFT(C376,FIND("-",C376&amp;"-")-1)),"GD",""))&gt;0),"موجود","")</f>
        <v/>
      </c>
    </row>
    <row r="377" spans="1:16">
      <c r="A377" s="3">
        <v>376</v>
      </c>
      <c r="B377" s="3" t="s">
        <v>232</v>
      </c>
      <c r="C377" s="3" t="s">
        <v>408</v>
      </c>
      <c r="D377" s="3">
        <v>2</v>
      </c>
      <c r="E377" s="3">
        <v>750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 t="s">
        <v>17</v>
      </c>
      <c r="M377" s="3" t="s">
        <v>234</v>
      </c>
      <c r="N377" s="2"/>
      <c r="O377" s="2"/>
      <c r="P377" s="3" t="str">
        <f>IF(OR(COUNTIF('ثبت لیبل'!$B$11:$B$1010,TRIM(LEFT(C377,FIND("-",C377&amp;"-")-1)))&gt;0,COUNTIF('ثبت لیبل'!$B$11:$B$1010,SUBSTITUTE(TRIM(LEFT(C377,FIND("-",C377&amp;"-")-1)),"GD",""))&gt;0),"موجود","")</f>
        <v/>
      </c>
    </row>
    <row r="378" spans="1:16">
      <c r="A378" s="3">
        <v>377</v>
      </c>
      <c r="B378" s="3" t="s">
        <v>232</v>
      </c>
      <c r="C378" s="3" t="s">
        <v>409</v>
      </c>
      <c r="D378" s="3">
        <v>2</v>
      </c>
      <c r="E378" s="3">
        <v>750</v>
      </c>
      <c r="F378" s="3">
        <v>0</v>
      </c>
      <c r="G378" s="3">
        <v>0</v>
      </c>
      <c r="H378" s="3">
        <v>0</v>
      </c>
      <c r="I378" s="3">
        <v>0</v>
      </c>
      <c r="J378" s="4">
        <v>484000</v>
      </c>
      <c r="K378" s="4">
        <v>1064800</v>
      </c>
      <c r="L378" s="3" t="s">
        <v>17</v>
      </c>
      <c r="M378" s="3" t="s">
        <v>234</v>
      </c>
      <c r="N378" s="2"/>
      <c r="O378" s="2"/>
      <c r="P378" s="3" t="str">
        <f>IF(OR(COUNTIF('ثبت لیبل'!$B$11:$B$1010,TRIM(LEFT(C378,FIND("-",C378&amp;"-")-1)))&gt;0,COUNTIF('ثبت لیبل'!$B$11:$B$1010,SUBSTITUTE(TRIM(LEFT(C378,FIND("-",C378&amp;"-")-1)),"GD",""))&gt;0),"موجود","")</f>
        <v/>
      </c>
    </row>
    <row r="379" spans="1:16">
      <c r="A379" s="3">
        <v>378</v>
      </c>
      <c r="B379" s="3" t="s">
        <v>232</v>
      </c>
      <c r="C379" s="3" t="s">
        <v>410</v>
      </c>
      <c r="D379" s="3">
        <v>2</v>
      </c>
      <c r="E379" s="3">
        <v>750</v>
      </c>
      <c r="F379" s="3">
        <v>0</v>
      </c>
      <c r="G379" s="3">
        <v>0</v>
      </c>
      <c r="H379" s="3">
        <v>0</v>
      </c>
      <c r="I379" s="3">
        <v>0</v>
      </c>
      <c r="J379" s="4">
        <v>484000</v>
      </c>
      <c r="K379" s="4">
        <v>1064800</v>
      </c>
      <c r="L379" s="3" t="s">
        <v>17</v>
      </c>
      <c r="M379" s="3" t="s">
        <v>234</v>
      </c>
      <c r="N379" s="2"/>
      <c r="O379" s="2"/>
      <c r="P379" s="3" t="str">
        <f>IF(OR(COUNTIF('ثبت لیبل'!$B$11:$B$1010,TRIM(LEFT(C379,FIND("-",C379&amp;"-")-1)))&gt;0,COUNTIF('ثبت لیبل'!$B$11:$B$1010,SUBSTITUTE(TRIM(LEFT(C379,FIND("-",C379&amp;"-")-1)),"GD",""))&gt;0),"موجود","")</f>
        <v/>
      </c>
    </row>
    <row r="380" spans="1:16">
      <c r="A380" s="3">
        <v>379</v>
      </c>
      <c r="B380" s="3" t="s">
        <v>232</v>
      </c>
      <c r="C380" s="3" t="s">
        <v>411</v>
      </c>
      <c r="D380" s="3">
        <v>2</v>
      </c>
      <c r="E380" s="3">
        <v>750</v>
      </c>
      <c r="F380" s="3">
        <v>0</v>
      </c>
      <c r="G380" s="3">
        <v>0</v>
      </c>
      <c r="H380" s="3">
        <v>0</v>
      </c>
      <c r="I380" s="3">
        <v>0</v>
      </c>
      <c r="J380" s="4">
        <v>484000</v>
      </c>
      <c r="K380" s="4">
        <v>1064800</v>
      </c>
      <c r="L380" s="3" t="s">
        <v>17</v>
      </c>
      <c r="M380" s="3" t="s">
        <v>234</v>
      </c>
      <c r="N380" s="2"/>
      <c r="O380" s="2"/>
      <c r="P380" s="3" t="str">
        <f>IF(OR(COUNTIF('ثبت لیبل'!$B$11:$B$1010,TRIM(LEFT(C380,FIND("-",C380&amp;"-")-1)))&gt;0,COUNTIF('ثبت لیبل'!$B$11:$B$1010,SUBSTITUTE(TRIM(LEFT(C380,FIND("-",C380&amp;"-")-1)),"GD",""))&gt;0),"موجود","")</f>
        <v/>
      </c>
    </row>
    <row r="381" spans="1:16">
      <c r="A381" s="3">
        <v>380</v>
      </c>
      <c r="B381" s="3" t="s">
        <v>232</v>
      </c>
      <c r="C381" s="3" t="s">
        <v>412</v>
      </c>
      <c r="D381" s="3">
        <v>1.5</v>
      </c>
      <c r="E381" s="3">
        <v>750</v>
      </c>
      <c r="F381" s="3">
        <v>0</v>
      </c>
      <c r="G381" s="3">
        <v>0</v>
      </c>
      <c r="H381" s="3">
        <v>0</v>
      </c>
      <c r="I381" s="3">
        <v>0</v>
      </c>
      <c r="J381" s="4">
        <v>484000</v>
      </c>
      <c r="K381" s="4">
        <v>1064800</v>
      </c>
      <c r="L381" s="3" t="s">
        <v>17</v>
      </c>
      <c r="M381" s="3" t="s">
        <v>234</v>
      </c>
      <c r="N381" s="2"/>
      <c r="O381" s="2"/>
      <c r="P381" s="3" t="str">
        <f>IF(OR(COUNTIF('ثبت لیبل'!$B$11:$B$1010,TRIM(LEFT(C381,FIND("-",C381&amp;"-")-1)))&gt;0,COUNTIF('ثبت لیبل'!$B$11:$B$1010,SUBSTITUTE(TRIM(LEFT(C381,FIND("-",C381&amp;"-")-1)),"GD",""))&gt;0),"موجود","")</f>
        <v/>
      </c>
    </row>
    <row r="382" spans="1:16">
      <c r="A382" s="3">
        <v>381</v>
      </c>
      <c r="B382" s="3" t="s">
        <v>232</v>
      </c>
      <c r="C382" s="3" t="s">
        <v>413</v>
      </c>
      <c r="D382" s="3">
        <v>1.5</v>
      </c>
      <c r="E382" s="3">
        <v>750</v>
      </c>
      <c r="F382" s="3">
        <v>0</v>
      </c>
      <c r="G382" s="3">
        <v>0</v>
      </c>
      <c r="H382" s="3">
        <v>0</v>
      </c>
      <c r="I382" s="3">
        <v>0</v>
      </c>
      <c r="J382" s="4">
        <v>484000</v>
      </c>
      <c r="K382" s="4">
        <v>1064800</v>
      </c>
      <c r="L382" s="3" t="s">
        <v>17</v>
      </c>
      <c r="M382" s="3" t="s">
        <v>234</v>
      </c>
      <c r="N382" s="2"/>
      <c r="O382" s="2"/>
      <c r="P382" s="3" t="str">
        <f>IF(OR(COUNTIF('ثبت لیبل'!$B$11:$B$1010,TRIM(LEFT(C382,FIND("-",C382&amp;"-")-1)))&gt;0,COUNTIF('ثبت لیبل'!$B$11:$B$1010,SUBSTITUTE(TRIM(LEFT(C382,FIND("-",C382&amp;"-")-1)),"GD",""))&gt;0),"موجود","")</f>
        <v/>
      </c>
    </row>
    <row r="383" spans="1:16">
      <c r="A383" s="3">
        <v>382</v>
      </c>
      <c r="B383" s="3" t="s">
        <v>232</v>
      </c>
      <c r="C383" s="3" t="s">
        <v>414</v>
      </c>
      <c r="D383" s="3">
        <v>1.5</v>
      </c>
      <c r="E383" s="3">
        <v>750</v>
      </c>
      <c r="F383" s="3">
        <v>0</v>
      </c>
      <c r="G383" s="3">
        <v>0</v>
      </c>
      <c r="H383" s="3">
        <v>0</v>
      </c>
      <c r="I383" s="3">
        <v>0</v>
      </c>
      <c r="J383" s="4">
        <v>484000</v>
      </c>
      <c r="K383" s="4">
        <v>1064800</v>
      </c>
      <c r="L383" s="3" t="s">
        <v>17</v>
      </c>
      <c r="M383" s="3" t="s">
        <v>234</v>
      </c>
      <c r="N383" s="2"/>
      <c r="O383" s="2"/>
      <c r="P383" s="3" t="str">
        <f>IF(OR(COUNTIF('ثبت لیبل'!$B$11:$B$1010,TRIM(LEFT(C383,FIND("-",C383&amp;"-")-1)))&gt;0,COUNTIF('ثبت لیبل'!$B$11:$B$1010,SUBSTITUTE(TRIM(LEFT(C383,FIND("-",C383&amp;"-")-1)),"GD",""))&gt;0),"موجود","")</f>
        <v/>
      </c>
    </row>
    <row r="384" spans="1:16">
      <c r="A384" s="3">
        <v>383</v>
      </c>
      <c r="B384" s="3" t="s">
        <v>232</v>
      </c>
      <c r="C384" s="3" t="s">
        <v>415</v>
      </c>
      <c r="D384" s="3">
        <v>1.5</v>
      </c>
      <c r="E384" s="3">
        <v>750</v>
      </c>
      <c r="F384" s="3">
        <v>0</v>
      </c>
      <c r="G384" s="3">
        <v>0</v>
      </c>
      <c r="H384" s="3">
        <v>0</v>
      </c>
      <c r="I384" s="3">
        <v>0</v>
      </c>
      <c r="J384" s="4">
        <v>484000</v>
      </c>
      <c r="K384" s="4">
        <v>1064800</v>
      </c>
      <c r="L384" s="3" t="s">
        <v>17</v>
      </c>
      <c r="M384" s="3" t="s">
        <v>234</v>
      </c>
      <c r="N384" s="2"/>
      <c r="O384" s="2"/>
      <c r="P384" s="3" t="str">
        <f>IF(OR(COUNTIF('ثبت لیبل'!$B$11:$B$1010,TRIM(LEFT(C384,FIND("-",C384&amp;"-")-1)))&gt;0,COUNTIF('ثبت لیبل'!$B$11:$B$1010,SUBSTITUTE(TRIM(LEFT(C384,FIND("-",C384&amp;"-")-1)),"GD",""))&gt;0),"موجود","")</f>
        <v/>
      </c>
    </row>
    <row r="385" spans="1:16">
      <c r="A385" s="3">
        <v>384</v>
      </c>
      <c r="B385" s="3" t="s">
        <v>232</v>
      </c>
      <c r="C385" s="3" t="s">
        <v>416</v>
      </c>
      <c r="D385" s="3">
        <v>1</v>
      </c>
      <c r="E385" s="3">
        <v>750</v>
      </c>
      <c r="F385" s="3">
        <v>0</v>
      </c>
      <c r="G385" s="3">
        <v>0</v>
      </c>
      <c r="H385" s="3">
        <v>0</v>
      </c>
      <c r="I385" s="3">
        <v>0</v>
      </c>
      <c r="J385" s="4">
        <v>484000</v>
      </c>
      <c r="K385" s="4">
        <v>1064800</v>
      </c>
      <c r="L385" s="3" t="s">
        <v>17</v>
      </c>
      <c r="M385" s="3" t="s">
        <v>234</v>
      </c>
      <c r="N385" s="2"/>
      <c r="O385" s="2"/>
      <c r="P385" s="3" t="str">
        <f>IF(OR(COUNTIF('ثبت لیبل'!$B$11:$B$1010,TRIM(LEFT(C385,FIND("-",C385&amp;"-")-1)))&gt;0,COUNTIF('ثبت لیبل'!$B$11:$B$1010,SUBSTITUTE(TRIM(LEFT(C385,FIND("-",C385&amp;"-")-1)),"GD",""))&gt;0),"موجود","")</f>
        <v/>
      </c>
    </row>
    <row r="386" spans="1:16">
      <c r="A386" s="3">
        <v>385</v>
      </c>
      <c r="B386" s="3" t="s">
        <v>232</v>
      </c>
      <c r="C386" s="3" t="s">
        <v>417</v>
      </c>
      <c r="D386" s="3">
        <v>1</v>
      </c>
      <c r="E386" s="3">
        <v>750</v>
      </c>
      <c r="F386" s="3">
        <v>0</v>
      </c>
      <c r="G386" s="3">
        <v>0</v>
      </c>
      <c r="H386" s="3">
        <v>0</v>
      </c>
      <c r="I386" s="3">
        <v>0</v>
      </c>
      <c r="J386" s="4">
        <v>484000</v>
      </c>
      <c r="K386" s="4">
        <v>1064800</v>
      </c>
      <c r="L386" s="3" t="s">
        <v>17</v>
      </c>
      <c r="M386" s="3" t="s">
        <v>234</v>
      </c>
      <c r="N386" s="2"/>
      <c r="O386" s="2"/>
      <c r="P386" s="3" t="str">
        <f>IF(OR(COUNTIF('ثبت لیبل'!$B$11:$B$1010,TRIM(LEFT(C386,FIND("-",C386&amp;"-")-1)))&gt;0,COUNTIF('ثبت لیبل'!$B$11:$B$1010,SUBSTITUTE(TRIM(LEFT(C386,FIND("-",C386&amp;"-")-1)),"GD",""))&gt;0),"موجود","")</f>
        <v/>
      </c>
    </row>
    <row r="387" spans="1:16">
      <c r="A387" s="3">
        <v>386</v>
      </c>
      <c r="B387" s="3" t="s">
        <v>232</v>
      </c>
      <c r="C387" s="3" t="s">
        <v>418</v>
      </c>
      <c r="D387" s="3">
        <v>1</v>
      </c>
      <c r="E387" s="3">
        <v>750</v>
      </c>
      <c r="F387" s="3">
        <v>0</v>
      </c>
      <c r="G387" s="3">
        <v>0</v>
      </c>
      <c r="H387" s="3">
        <v>0</v>
      </c>
      <c r="I387" s="3">
        <v>0</v>
      </c>
      <c r="J387" s="4">
        <v>484000</v>
      </c>
      <c r="K387" s="4">
        <v>1064800</v>
      </c>
      <c r="L387" s="3" t="s">
        <v>17</v>
      </c>
      <c r="M387" s="3" t="s">
        <v>234</v>
      </c>
      <c r="N387" s="2"/>
      <c r="O387" s="2"/>
      <c r="P387" s="3" t="str">
        <f>IF(OR(COUNTIF('ثبت لیبل'!$B$11:$B$1010,TRIM(LEFT(C387,FIND("-",C387&amp;"-")-1)))&gt;0,COUNTIF('ثبت لیبل'!$B$11:$B$1010,SUBSTITUTE(TRIM(LEFT(C387,FIND("-",C387&amp;"-")-1)),"GD",""))&gt;0),"موجود","")</f>
        <v/>
      </c>
    </row>
    <row r="388" spans="1:16">
      <c r="A388" s="3">
        <v>387</v>
      </c>
      <c r="B388" s="3" t="s">
        <v>232</v>
      </c>
      <c r="C388" s="3" t="s">
        <v>419</v>
      </c>
      <c r="D388" s="3">
        <v>0.4</v>
      </c>
      <c r="E388" s="3">
        <v>750</v>
      </c>
      <c r="F388" s="3">
        <v>0</v>
      </c>
      <c r="G388" s="3">
        <v>0</v>
      </c>
      <c r="H388" s="3">
        <v>0</v>
      </c>
      <c r="I388" s="3">
        <v>0</v>
      </c>
      <c r="J388" s="4">
        <v>484000</v>
      </c>
      <c r="K388" s="4">
        <v>1064800</v>
      </c>
      <c r="L388" s="3" t="s">
        <v>17</v>
      </c>
      <c r="M388" s="3" t="s">
        <v>234</v>
      </c>
      <c r="N388" s="2"/>
      <c r="O388" s="2"/>
      <c r="P388" s="3" t="str">
        <f>IF(OR(COUNTIF('ثبت لیبل'!$B$11:$B$1010,TRIM(LEFT(C388,FIND("-",C388&amp;"-")-1)))&gt;0,COUNTIF('ثبت لیبل'!$B$11:$B$1010,SUBSTITUTE(TRIM(LEFT(C388,FIND("-",C388&amp;"-")-1)),"GD",""))&gt;0),"موجود","")</f>
        <v/>
      </c>
    </row>
    <row r="389" spans="1:16">
      <c r="A389" s="3">
        <v>388</v>
      </c>
      <c r="B389" s="3" t="s">
        <v>232</v>
      </c>
      <c r="C389" s="3" t="s">
        <v>420</v>
      </c>
      <c r="D389" s="3">
        <v>0.4</v>
      </c>
      <c r="E389" s="3">
        <v>750</v>
      </c>
      <c r="F389" s="3">
        <v>0</v>
      </c>
      <c r="G389" s="3">
        <v>0</v>
      </c>
      <c r="H389" s="3">
        <v>0</v>
      </c>
      <c r="I389" s="3">
        <v>0</v>
      </c>
      <c r="J389" s="4">
        <v>484000</v>
      </c>
      <c r="K389" s="4">
        <v>1064800</v>
      </c>
      <c r="L389" s="3" t="s">
        <v>17</v>
      </c>
      <c r="M389" s="3" t="s">
        <v>234</v>
      </c>
      <c r="N389" s="2"/>
      <c r="O389" s="2"/>
      <c r="P389" s="3" t="str">
        <f>IF(OR(COUNTIF('ثبت لیبل'!$B$11:$B$1010,TRIM(LEFT(C389,FIND("-",C389&amp;"-")-1)))&gt;0,COUNTIF('ثبت لیبل'!$B$11:$B$1010,SUBSTITUTE(TRIM(LEFT(C389,FIND("-",C389&amp;"-")-1)),"GD",""))&gt;0),"موجود","")</f>
        <v/>
      </c>
    </row>
    <row r="390" spans="1:16">
      <c r="A390" s="3">
        <v>389</v>
      </c>
      <c r="B390" s="3" t="s">
        <v>232</v>
      </c>
      <c r="C390" s="3" t="s">
        <v>421</v>
      </c>
      <c r="D390" s="3">
        <v>0.4</v>
      </c>
      <c r="E390" s="3">
        <v>750</v>
      </c>
      <c r="F390" s="3">
        <v>0</v>
      </c>
      <c r="G390" s="3">
        <v>0</v>
      </c>
      <c r="H390" s="3">
        <v>0</v>
      </c>
      <c r="I390" s="3">
        <v>0</v>
      </c>
      <c r="J390" s="4">
        <v>484000</v>
      </c>
      <c r="K390" s="4">
        <v>1064800</v>
      </c>
      <c r="L390" s="3" t="s">
        <v>17</v>
      </c>
      <c r="M390" s="3" t="s">
        <v>234</v>
      </c>
      <c r="N390" s="2"/>
      <c r="O390" s="2"/>
      <c r="P390" s="3" t="str">
        <f>IF(OR(COUNTIF('ثبت لیبل'!$B$11:$B$1010,TRIM(LEFT(C390,FIND("-",C390&amp;"-")-1)))&gt;0,COUNTIF('ثبت لیبل'!$B$11:$B$1010,SUBSTITUTE(TRIM(LEFT(C390,FIND("-",C390&amp;"-")-1)),"GD",""))&gt;0),"موجود","")</f>
        <v/>
      </c>
    </row>
    <row r="391" spans="1:16">
      <c r="A391" s="3">
        <v>390</v>
      </c>
      <c r="B391" s="3" t="s">
        <v>232</v>
      </c>
      <c r="C391" s="3" t="s">
        <v>422</v>
      </c>
      <c r="D391" s="3">
        <v>0.4</v>
      </c>
      <c r="E391" s="3">
        <v>750</v>
      </c>
      <c r="F391" s="3">
        <v>0</v>
      </c>
      <c r="G391" s="3">
        <v>0</v>
      </c>
      <c r="H391" s="3">
        <v>0</v>
      </c>
      <c r="I391" s="3">
        <v>0</v>
      </c>
      <c r="J391" s="4">
        <v>484000</v>
      </c>
      <c r="K391" s="4">
        <v>1064800</v>
      </c>
      <c r="L391" s="3" t="s">
        <v>17</v>
      </c>
      <c r="M391" s="3" t="s">
        <v>234</v>
      </c>
      <c r="N391" s="2"/>
      <c r="O391" s="2"/>
      <c r="P391" s="3" t="str">
        <f>IF(OR(COUNTIF('ثبت لیبل'!$B$11:$B$1010,TRIM(LEFT(C391,FIND("-",C391&amp;"-")-1)))&gt;0,COUNTIF('ثبت لیبل'!$B$11:$B$1010,SUBSTITUTE(TRIM(LEFT(C391,FIND("-",C391&amp;"-")-1)),"GD",""))&gt;0),"موجود","")</f>
        <v/>
      </c>
    </row>
    <row r="392" spans="1:16">
      <c r="A392" s="3">
        <v>391</v>
      </c>
      <c r="B392" s="3" t="s">
        <v>232</v>
      </c>
      <c r="C392" s="3" t="s">
        <v>423</v>
      </c>
      <c r="D392" s="3">
        <v>0.4</v>
      </c>
      <c r="E392" s="3">
        <v>750</v>
      </c>
      <c r="F392" s="3">
        <v>0</v>
      </c>
      <c r="G392" s="3">
        <v>0</v>
      </c>
      <c r="H392" s="3">
        <v>0</v>
      </c>
      <c r="I392" s="3">
        <v>0</v>
      </c>
      <c r="J392" s="4">
        <v>484000</v>
      </c>
      <c r="K392" s="4">
        <v>1064800</v>
      </c>
      <c r="L392" s="3" t="s">
        <v>17</v>
      </c>
      <c r="M392" s="3" t="s">
        <v>234</v>
      </c>
      <c r="N392" s="2"/>
      <c r="O392" s="2"/>
      <c r="P392" s="3" t="str">
        <f>IF(OR(COUNTIF('ثبت لیبل'!$B$11:$B$1010,TRIM(LEFT(C392,FIND("-",C392&amp;"-")-1)))&gt;0,COUNTIF('ثبت لیبل'!$B$11:$B$1010,SUBSTITUTE(TRIM(LEFT(C392,FIND("-",C392&amp;"-")-1)),"GD",""))&gt;0),"موجود","")</f>
        <v/>
      </c>
    </row>
    <row r="393" spans="1:16">
      <c r="A393" s="3">
        <v>392</v>
      </c>
      <c r="B393" s="3" t="s">
        <v>232</v>
      </c>
      <c r="C393" s="3" t="s">
        <v>424</v>
      </c>
      <c r="D393" s="3">
        <v>0.4</v>
      </c>
      <c r="E393" s="3">
        <v>750</v>
      </c>
      <c r="F393" s="3">
        <v>0</v>
      </c>
      <c r="G393" s="3">
        <v>0</v>
      </c>
      <c r="H393" s="3">
        <v>0</v>
      </c>
      <c r="I393" s="3">
        <v>0</v>
      </c>
      <c r="J393" s="4">
        <v>484000</v>
      </c>
      <c r="K393" s="4">
        <v>1064800</v>
      </c>
      <c r="L393" s="3" t="s">
        <v>17</v>
      </c>
      <c r="M393" s="3" t="s">
        <v>234</v>
      </c>
      <c r="N393" s="2"/>
      <c r="O393" s="2"/>
      <c r="P393" s="3" t="str">
        <f>IF(OR(COUNTIF('ثبت لیبل'!$B$11:$B$1010,TRIM(LEFT(C393,FIND("-",C393&amp;"-")-1)))&gt;0,COUNTIF('ثبت لیبل'!$B$11:$B$1010,SUBSTITUTE(TRIM(LEFT(C393,FIND("-",C393&amp;"-")-1)),"GD",""))&gt;0),"موجود","")</f>
        <v/>
      </c>
    </row>
    <row r="394" spans="1:16">
      <c r="A394" s="3">
        <v>393</v>
      </c>
      <c r="B394" s="3" t="s">
        <v>232</v>
      </c>
      <c r="C394" s="3" t="s">
        <v>425</v>
      </c>
      <c r="D394" s="3">
        <v>0.4</v>
      </c>
      <c r="E394" s="3">
        <v>750</v>
      </c>
      <c r="F394" s="3">
        <v>0</v>
      </c>
      <c r="G394" s="3">
        <v>0</v>
      </c>
      <c r="H394" s="3">
        <v>0</v>
      </c>
      <c r="I394" s="3">
        <v>0</v>
      </c>
      <c r="J394" s="4">
        <v>484000</v>
      </c>
      <c r="K394" s="4">
        <v>1064800</v>
      </c>
      <c r="L394" s="3" t="s">
        <v>17</v>
      </c>
      <c r="M394" s="3" t="s">
        <v>234</v>
      </c>
      <c r="N394" s="2"/>
      <c r="O394" s="2"/>
      <c r="P394" s="3" t="str">
        <f>IF(OR(COUNTIF('ثبت لیبل'!$B$11:$B$1010,TRIM(LEFT(C394,FIND("-",C394&amp;"-")-1)))&gt;0,COUNTIF('ثبت لیبل'!$B$11:$B$1010,SUBSTITUTE(TRIM(LEFT(C394,FIND("-",C394&amp;"-")-1)),"GD",""))&gt;0),"موجود","")</f>
        <v/>
      </c>
    </row>
    <row r="395" spans="1:16">
      <c r="A395" s="3">
        <v>394</v>
      </c>
      <c r="B395" s="3" t="s">
        <v>232</v>
      </c>
      <c r="C395" s="3" t="s">
        <v>426</v>
      </c>
      <c r="D395" s="3">
        <v>0.3</v>
      </c>
      <c r="E395" s="3">
        <v>750</v>
      </c>
      <c r="F395" s="3">
        <v>0</v>
      </c>
      <c r="G395" s="3">
        <v>0</v>
      </c>
      <c r="H395" s="3">
        <v>0</v>
      </c>
      <c r="I395" s="3">
        <v>0</v>
      </c>
      <c r="J395" s="4">
        <v>484000</v>
      </c>
      <c r="K395" s="4">
        <v>1064800</v>
      </c>
      <c r="L395" s="3" t="s">
        <v>17</v>
      </c>
      <c r="M395" s="3" t="s">
        <v>234</v>
      </c>
      <c r="N395" s="2"/>
      <c r="O395" s="2"/>
      <c r="P395" s="3" t="str">
        <f>IF(OR(COUNTIF('ثبت لیبل'!$B$11:$B$1010,TRIM(LEFT(C395,FIND("-",C395&amp;"-")-1)))&gt;0,COUNTIF('ثبت لیبل'!$B$11:$B$1010,SUBSTITUTE(TRIM(LEFT(C395,FIND("-",C395&amp;"-")-1)),"GD",""))&gt;0),"موجود","")</f>
        <v/>
      </c>
    </row>
    <row r="396" spans="1:16">
      <c r="A396" s="3">
        <v>395</v>
      </c>
      <c r="B396" s="3" t="s">
        <v>232</v>
      </c>
      <c r="C396" s="3" t="s">
        <v>427</v>
      </c>
      <c r="D396" s="3">
        <v>0.3</v>
      </c>
      <c r="E396" s="3">
        <v>750</v>
      </c>
      <c r="F396" s="3">
        <v>0</v>
      </c>
      <c r="G396" s="3">
        <v>0</v>
      </c>
      <c r="H396" s="3">
        <v>0</v>
      </c>
      <c r="I396" s="3">
        <v>0</v>
      </c>
      <c r="J396" s="4">
        <v>484000</v>
      </c>
      <c r="K396" s="4">
        <v>1064800</v>
      </c>
      <c r="L396" s="3" t="s">
        <v>17</v>
      </c>
      <c r="M396" s="3" t="s">
        <v>234</v>
      </c>
      <c r="N396" s="2"/>
      <c r="O396" s="2"/>
      <c r="P396" s="3" t="str">
        <f>IF(OR(COUNTIF('ثبت لیبل'!$B$11:$B$1010,TRIM(LEFT(C396,FIND("-",C396&amp;"-")-1)))&gt;0,COUNTIF('ثبت لیبل'!$B$11:$B$1010,SUBSTITUTE(TRIM(LEFT(C396,FIND("-",C396&amp;"-")-1)),"GD",""))&gt;0),"موجود","")</f>
        <v/>
      </c>
    </row>
    <row r="397" spans="1:16">
      <c r="A397" s="3">
        <v>396</v>
      </c>
      <c r="B397" s="3" t="s">
        <v>232</v>
      </c>
      <c r="C397" s="3" t="s">
        <v>428</v>
      </c>
      <c r="D397" s="3">
        <v>0.3</v>
      </c>
      <c r="E397" s="3">
        <v>750</v>
      </c>
      <c r="F397" s="3">
        <v>0</v>
      </c>
      <c r="G397" s="3">
        <v>0</v>
      </c>
      <c r="H397" s="3">
        <v>0</v>
      </c>
      <c r="I397" s="3">
        <v>0</v>
      </c>
      <c r="J397" s="4">
        <v>484000</v>
      </c>
      <c r="K397" s="4">
        <v>1064800</v>
      </c>
      <c r="L397" s="3" t="s">
        <v>17</v>
      </c>
      <c r="M397" s="3" t="s">
        <v>234</v>
      </c>
      <c r="N397" s="2"/>
      <c r="O397" s="2"/>
      <c r="P397" s="3" t="str">
        <f>IF(OR(COUNTIF('ثبت لیبل'!$B$11:$B$1010,TRIM(LEFT(C397,FIND("-",C397&amp;"-")-1)))&gt;0,COUNTIF('ثبت لیبل'!$B$11:$B$1010,SUBSTITUTE(TRIM(LEFT(C397,FIND("-",C397&amp;"-")-1)),"GD",""))&gt;0),"موجود","")</f>
        <v/>
      </c>
    </row>
    <row r="398" spans="1:16">
      <c r="A398" s="3">
        <v>397</v>
      </c>
      <c r="B398" s="3" t="s">
        <v>232</v>
      </c>
      <c r="C398" s="3" t="s">
        <v>429</v>
      </c>
      <c r="D398" s="3">
        <v>0.3</v>
      </c>
      <c r="E398" s="3">
        <v>750</v>
      </c>
      <c r="F398" s="3">
        <v>0</v>
      </c>
      <c r="G398" s="3">
        <v>0</v>
      </c>
      <c r="H398" s="3">
        <v>0</v>
      </c>
      <c r="I398" s="3">
        <v>0</v>
      </c>
      <c r="J398" s="4">
        <v>484000</v>
      </c>
      <c r="K398" s="4">
        <v>1064800</v>
      </c>
      <c r="L398" s="3" t="s">
        <v>17</v>
      </c>
      <c r="M398" s="3" t="s">
        <v>234</v>
      </c>
      <c r="N398" s="2"/>
      <c r="O398" s="2"/>
      <c r="P398" s="3" t="str">
        <f>IF(OR(COUNTIF('ثبت لیبل'!$B$11:$B$1010,TRIM(LEFT(C398,FIND("-",C398&amp;"-")-1)))&gt;0,COUNTIF('ثبت لیبل'!$B$11:$B$1010,SUBSTITUTE(TRIM(LEFT(C398,FIND("-",C398&amp;"-")-1)),"GD",""))&gt;0),"موجود","")</f>
        <v/>
      </c>
    </row>
    <row r="399" spans="1:16">
      <c r="A399" s="3">
        <v>398</v>
      </c>
      <c r="B399" s="3" t="s">
        <v>232</v>
      </c>
      <c r="C399" s="3" t="s">
        <v>430</v>
      </c>
      <c r="D399" s="3">
        <v>0.3</v>
      </c>
      <c r="E399" s="3">
        <v>750</v>
      </c>
      <c r="F399" s="3">
        <v>0</v>
      </c>
      <c r="G399" s="3">
        <v>0</v>
      </c>
      <c r="H399" s="3">
        <v>0</v>
      </c>
      <c r="I399" s="3">
        <v>0</v>
      </c>
      <c r="J399" s="4">
        <v>484000</v>
      </c>
      <c r="K399" s="4">
        <v>1064800</v>
      </c>
      <c r="L399" s="3" t="s">
        <v>17</v>
      </c>
      <c r="M399" s="3" t="s">
        <v>234</v>
      </c>
      <c r="N399" s="2"/>
      <c r="O399" s="2"/>
      <c r="P399" s="3" t="str">
        <f>IF(OR(COUNTIF('ثبت لیبل'!$B$11:$B$1010,TRIM(LEFT(C399,FIND("-",C399&amp;"-")-1)))&gt;0,COUNTIF('ثبت لیبل'!$B$11:$B$1010,SUBSTITUTE(TRIM(LEFT(C399,FIND("-",C399&amp;"-")-1)),"GD",""))&gt;0),"موجود","")</f>
        <v/>
      </c>
    </row>
    <row r="400" spans="1:16">
      <c r="A400" s="3">
        <v>399</v>
      </c>
      <c r="B400" s="3" t="s">
        <v>232</v>
      </c>
      <c r="C400" s="3" t="s">
        <v>431</v>
      </c>
      <c r="D400" s="3">
        <v>0.3</v>
      </c>
      <c r="E400" s="3">
        <v>750</v>
      </c>
      <c r="F400" s="3">
        <v>0</v>
      </c>
      <c r="G400" s="3">
        <v>0</v>
      </c>
      <c r="H400" s="3">
        <v>0</v>
      </c>
      <c r="I400" s="3">
        <v>0</v>
      </c>
      <c r="J400" s="4">
        <v>484000</v>
      </c>
      <c r="K400" s="4">
        <v>1064800</v>
      </c>
      <c r="L400" s="3" t="s">
        <v>17</v>
      </c>
      <c r="M400" s="3" t="s">
        <v>234</v>
      </c>
      <c r="N400" s="2"/>
      <c r="O400" s="2"/>
      <c r="P400" s="3" t="str">
        <f>IF(OR(COUNTIF('ثبت لیبل'!$B$11:$B$1010,TRIM(LEFT(C400,FIND("-",C400&amp;"-")-1)))&gt;0,COUNTIF('ثبت لیبل'!$B$11:$B$1010,SUBSTITUTE(TRIM(LEFT(C400,FIND("-",C400&amp;"-")-1)),"GD",""))&gt;0),"موجود","")</f>
        <v/>
      </c>
    </row>
    <row r="401" spans="1:16">
      <c r="A401" s="3">
        <v>400</v>
      </c>
      <c r="B401" s="3" t="s">
        <v>232</v>
      </c>
      <c r="C401" s="3" t="s">
        <v>432</v>
      </c>
      <c r="D401" s="3">
        <v>0.3</v>
      </c>
      <c r="E401" s="3">
        <v>750</v>
      </c>
      <c r="F401" s="3">
        <v>0</v>
      </c>
      <c r="G401" s="3">
        <v>0</v>
      </c>
      <c r="H401" s="3">
        <v>0</v>
      </c>
      <c r="I401" s="3">
        <v>0</v>
      </c>
      <c r="J401" s="4">
        <v>484000</v>
      </c>
      <c r="K401" s="4">
        <v>1064800</v>
      </c>
      <c r="L401" s="3" t="s">
        <v>17</v>
      </c>
      <c r="M401" s="3" t="s">
        <v>234</v>
      </c>
      <c r="N401" s="2"/>
      <c r="O401" s="2"/>
      <c r="P401" s="3" t="str">
        <f>IF(OR(COUNTIF('ثبت لیبل'!$B$11:$B$1010,TRIM(LEFT(C401,FIND("-",C401&amp;"-")-1)))&gt;0,COUNTIF('ثبت لیبل'!$B$11:$B$1010,SUBSTITUTE(TRIM(LEFT(C401,FIND("-",C401&amp;"-")-1)),"GD",""))&gt;0),"موجود","")</f>
        <v/>
      </c>
    </row>
    <row r="402" spans="1:16">
      <c r="A402" s="3">
        <v>401</v>
      </c>
      <c r="B402" s="3" t="s">
        <v>15</v>
      </c>
      <c r="C402" s="3" t="s">
        <v>433</v>
      </c>
      <c r="D402" s="3">
        <v>0.91</v>
      </c>
      <c r="E402" s="3">
        <v>750</v>
      </c>
      <c r="F402" s="3">
        <v>13</v>
      </c>
      <c r="G402" s="3">
        <v>13</v>
      </c>
      <c r="H402" s="3">
        <v>0</v>
      </c>
      <c r="I402" s="3">
        <v>0</v>
      </c>
      <c r="J402" s="3">
        <v>0</v>
      </c>
      <c r="K402" s="3">
        <v>0</v>
      </c>
      <c r="L402" s="3" t="s">
        <v>17</v>
      </c>
      <c r="M402" s="3" t="s">
        <v>46</v>
      </c>
      <c r="N402" s="2"/>
      <c r="O402" s="2"/>
      <c r="P402" s="3" t="str">
        <f>IF(OR(COUNTIF('ثبت لیبل'!$B$11:$B$1010,TRIM(LEFT(C402,FIND("-",C402&amp;"-")-1)))&gt;0,COUNTIF('ثبت لیبل'!$B$11:$B$1010,SUBSTITUTE(TRIM(LEFT(C402,FIND("-",C402&amp;"-")-1)),"GD",""))&gt;0),"موجود","")</f>
        <v/>
      </c>
    </row>
    <row r="403" spans="1:16">
      <c r="A403" s="3">
        <v>402</v>
      </c>
      <c r="B403" s="3" t="s">
        <v>15</v>
      </c>
      <c r="C403" s="3" t="s">
        <v>434</v>
      </c>
      <c r="D403" s="3">
        <v>0.98</v>
      </c>
      <c r="E403" s="3">
        <v>750</v>
      </c>
      <c r="F403" s="3">
        <v>19</v>
      </c>
      <c r="G403" s="3">
        <v>19</v>
      </c>
      <c r="H403" s="3">
        <v>0</v>
      </c>
      <c r="I403" s="3">
        <v>0</v>
      </c>
      <c r="J403" s="3">
        <v>0</v>
      </c>
      <c r="K403" s="3">
        <v>0</v>
      </c>
      <c r="L403" s="3" t="s">
        <v>17</v>
      </c>
      <c r="M403" s="3" t="s">
        <v>46</v>
      </c>
      <c r="N403" s="2"/>
      <c r="O403" s="2"/>
      <c r="P403" s="3" t="str">
        <f>IF(OR(COUNTIF('ثبت لیبل'!$B$11:$B$1010,TRIM(LEFT(C403,FIND("-",C403&amp;"-")-1)))&gt;0,COUNTIF('ثبت لیبل'!$B$11:$B$1010,SUBSTITUTE(TRIM(LEFT(C403,FIND("-",C403&amp;"-")-1)),"GD",""))&gt;0),"موجود","")</f>
        <v/>
      </c>
    </row>
    <row r="404" spans="1:16">
      <c r="A404" s="3">
        <v>403</v>
      </c>
      <c r="B404" s="3" t="s">
        <v>15</v>
      </c>
      <c r="C404" s="3" t="s">
        <v>435</v>
      </c>
      <c r="D404" s="3">
        <v>0.73</v>
      </c>
      <c r="E404" s="3">
        <v>750</v>
      </c>
      <c r="F404" s="3">
        <v>19</v>
      </c>
      <c r="G404" s="3">
        <v>19</v>
      </c>
      <c r="H404" s="3">
        <v>0</v>
      </c>
      <c r="I404" s="3">
        <v>0</v>
      </c>
      <c r="J404" s="3">
        <v>0</v>
      </c>
      <c r="K404" s="3">
        <v>0</v>
      </c>
      <c r="L404" s="3" t="s">
        <v>17</v>
      </c>
      <c r="M404" s="3" t="s">
        <v>46</v>
      </c>
      <c r="N404" s="2"/>
      <c r="O404" s="2"/>
      <c r="P404" s="3" t="str">
        <f>IF(OR(COUNTIF('ثبت لیبل'!$B$11:$B$1010,TRIM(LEFT(C404,FIND("-",C404&amp;"-")-1)))&gt;0,COUNTIF('ثبت لیبل'!$B$11:$B$1010,SUBSTITUTE(TRIM(LEFT(C404,FIND("-",C404&amp;"-")-1)),"GD",""))&gt;0),"موجود","")</f>
        <v/>
      </c>
    </row>
    <row r="405" spans="1:16">
      <c r="A405" s="3">
        <v>404</v>
      </c>
      <c r="B405" s="3" t="s">
        <v>15</v>
      </c>
      <c r="C405" s="3" t="s">
        <v>436</v>
      </c>
      <c r="D405" s="3">
        <v>1.08</v>
      </c>
      <c r="E405" s="3">
        <v>750</v>
      </c>
      <c r="F405" s="3">
        <v>13</v>
      </c>
      <c r="G405" s="3">
        <v>13</v>
      </c>
      <c r="H405" s="3">
        <v>0</v>
      </c>
      <c r="I405" s="3">
        <v>0</v>
      </c>
      <c r="J405" s="3">
        <v>0</v>
      </c>
      <c r="K405" s="3">
        <v>0</v>
      </c>
      <c r="L405" s="3" t="s">
        <v>17</v>
      </c>
      <c r="M405" s="3" t="s">
        <v>46</v>
      </c>
      <c r="N405" s="2"/>
      <c r="O405" s="2"/>
      <c r="P405" s="3" t="str">
        <f>IF(OR(COUNTIF('ثبت لیبل'!$B$11:$B$1010,TRIM(LEFT(C405,FIND("-",C405&amp;"-")-1)))&gt;0,COUNTIF('ثبت لیبل'!$B$11:$B$1010,SUBSTITUTE(TRIM(LEFT(C405,FIND("-",C405&amp;"-")-1)),"GD",""))&gt;0),"موجود","")</f>
        <v/>
      </c>
    </row>
    <row r="406" spans="1:16">
      <c r="A406" s="3">
        <v>405</v>
      </c>
      <c r="B406" s="3" t="s">
        <v>15</v>
      </c>
      <c r="C406" s="3" t="s">
        <v>437</v>
      </c>
      <c r="D406" s="3">
        <v>0.91</v>
      </c>
      <c r="E406" s="3">
        <v>750</v>
      </c>
      <c r="F406" s="3">
        <v>13</v>
      </c>
      <c r="G406" s="3">
        <v>13</v>
      </c>
      <c r="H406" s="3">
        <v>0</v>
      </c>
      <c r="I406" s="3">
        <v>0</v>
      </c>
      <c r="J406" s="3">
        <v>0</v>
      </c>
      <c r="K406" s="3">
        <v>0</v>
      </c>
      <c r="L406" s="3" t="s">
        <v>17</v>
      </c>
      <c r="M406" s="3" t="s">
        <v>46</v>
      </c>
      <c r="N406" s="2"/>
      <c r="O406" s="2"/>
      <c r="P406" s="3" t="str">
        <f>IF(OR(COUNTIF('ثبت لیبل'!$B$11:$B$1010,TRIM(LEFT(C406,FIND("-",C406&amp;"-")-1)))&gt;0,COUNTIF('ثبت لیبل'!$B$11:$B$1010,SUBSTITUTE(TRIM(LEFT(C406,FIND("-",C406&amp;"-")-1)),"GD",""))&gt;0),"موجود","")</f>
        <v/>
      </c>
    </row>
    <row r="407" spans="1:16">
      <c r="A407" s="3">
        <v>406</v>
      </c>
      <c r="B407" s="3" t="s">
        <v>15</v>
      </c>
      <c r="C407" s="3" t="s">
        <v>438</v>
      </c>
      <c r="D407" s="3">
        <v>1.0900000000000001</v>
      </c>
      <c r="E407" s="3">
        <v>750</v>
      </c>
      <c r="F407" s="3">
        <v>13</v>
      </c>
      <c r="G407" s="3">
        <v>13</v>
      </c>
      <c r="H407" s="3">
        <v>0</v>
      </c>
      <c r="I407" s="3">
        <v>0</v>
      </c>
      <c r="J407" s="3">
        <v>0</v>
      </c>
      <c r="K407" s="3">
        <v>0</v>
      </c>
      <c r="L407" s="3" t="s">
        <v>17</v>
      </c>
      <c r="M407" s="3" t="s">
        <v>46</v>
      </c>
      <c r="N407" s="2"/>
      <c r="O407" s="2"/>
      <c r="P407" s="3" t="str">
        <f>IF(OR(COUNTIF('ثبت لیبل'!$B$11:$B$1010,TRIM(LEFT(C407,FIND("-",C407&amp;"-")-1)))&gt;0,COUNTIF('ثبت لیبل'!$B$11:$B$1010,SUBSTITUTE(TRIM(LEFT(C407,FIND("-",C407&amp;"-")-1)),"GD",""))&gt;0),"موجود","")</f>
        <v/>
      </c>
    </row>
    <row r="408" spans="1:16">
      <c r="A408" s="3">
        <v>407</v>
      </c>
      <c r="B408" s="3" t="s">
        <v>15</v>
      </c>
      <c r="C408" s="3" t="s">
        <v>439</v>
      </c>
      <c r="D408" s="3">
        <v>1.18</v>
      </c>
      <c r="E408" s="3">
        <v>750</v>
      </c>
      <c r="F408" s="3">
        <v>12</v>
      </c>
      <c r="G408" s="3">
        <v>12</v>
      </c>
      <c r="H408" s="3">
        <v>0</v>
      </c>
      <c r="I408" s="3">
        <v>0</v>
      </c>
      <c r="J408" s="3">
        <v>0</v>
      </c>
      <c r="K408" s="3">
        <v>0</v>
      </c>
      <c r="L408" s="3" t="s">
        <v>17</v>
      </c>
      <c r="M408" s="3" t="s">
        <v>46</v>
      </c>
      <c r="N408" s="2"/>
      <c r="O408" s="2"/>
      <c r="P408" s="3" t="str">
        <f>IF(OR(COUNTIF('ثبت لیبل'!$B$11:$B$1010,TRIM(LEFT(C408,FIND("-",C408&amp;"-")-1)))&gt;0,COUNTIF('ثبت لیبل'!$B$11:$B$1010,SUBSTITUTE(TRIM(LEFT(C408,FIND("-",C408&amp;"-")-1)),"GD",""))&gt;0),"موجود","")</f>
        <v/>
      </c>
    </row>
    <row r="409" spans="1:16">
      <c r="A409" s="3">
        <v>408</v>
      </c>
      <c r="B409" s="3" t="s">
        <v>15</v>
      </c>
      <c r="C409" s="3" t="s">
        <v>440</v>
      </c>
      <c r="D409" s="3">
        <v>1.1000000000000001</v>
      </c>
      <c r="E409" s="3">
        <v>750</v>
      </c>
      <c r="F409" s="3">
        <v>12</v>
      </c>
      <c r="G409" s="3">
        <v>12</v>
      </c>
      <c r="H409" s="3">
        <v>0</v>
      </c>
      <c r="I409" s="3">
        <v>0</v>
      </c>
      <c r="J409" s="3">
        <v>0</v>
      </c>
      <c r="K409" s="3">
        <v>0</v>
      </c>
      <c r="L409" s="3" t="s">
        <v>17</v>
      </c>
      <c r="M409" s="3" t="s">
        <v>46</v>
      </c>
      <c r="N409" s="2"/>
      <c r="O409" s="2"/>
      <c r="P409" s="3" t="str">
        <f>IF(OR(COUNTIF('ثبت لیبل'!$B$11:$B$1010,TRIM(LEFT(C409,FIND("-",C409&amp;"-")-1)))&gt;0,COUNTIF('ثبت لیبل'!$B$11:$B$1010,SUBSTITUTE(TRIM(LEFT(C409,FIND("-",C409&amp;"-")-1)),"GD",""))&gt;0),"موجود","")</f>
        <v/>
      </c>
    </row>
    <row r="410" spans="1:16">
      <c r="A410" s="3">
        <v>409</v>
      </c>
      <c r="B410" s="3" t="s">
        <v>15</v>
      </c>
      <c r="C410" s="3" t="s">
        <v>441</v>
      </c>
      <c r="D410" s="3">
        <v>1.17</v>
      </c>
      <c r="E410" s="3">
        <v>750</v>
      </c>
      <c r="F410" s="3">
        <v>12</v>
      </c>
      <c r="G410" s="3">
        <v>12</v>
      </c>
      <c r="H410" s="3">
        <v>0</v>
      </c>
      <c r="I410" s="3">
        <v>0</v>
      </c>
      <c r="J410" s="3">
        <v>0</v>
      </c>
      <c r="K410" s="3">
        <v>0</v>
      </c>
      <c r="L410" s="3" t="s">
        <v>17</v>
      </c>
      <c r="M410" s="3" t="s">
        <v>46</v>
      </c>
      <c r="N410" s="2"/>
      <c r="O410" s="2"/>
      <c r="P410" s="3" t="str">
        <f>IF(OR(COUNTIF('ثبت لیبل'!$B$11:$B$1010,TRIM(LEFT(C410,FIND("-",C410&amp;"-")-1)))&gt;0,COUNTIF('ثبت لیبل'!$B$11:$B$1010,SUBSTITUTE(TRIM(LEFT(C410,FIND("-",C410&amp;"-")-1)),"GD",""))&gt;0),"موجود","")</f>
        <v/>
      </c>
    </row>
    <row r="411" spans="1:16">
      <c r="A411" s="3">
        <v>410</v>
      </c>
      <c r="B411" s="3" t="s">
        <v>15</v>
      </c>
      <c r="C411" s="3" t="s">
        <v>442</v>
      </c>
      <c r="D411" s="3">
        <v>11.93</v>
      </c>
      <c r="E411" s="3">
        <v>750</v>
      </c>
      <c r="F411" s="3">
        <v>18</v>
      </c>
      <c r="G411" s="3">
        <v>18</v>
      </c>
      <c r="H411" s="3">
        <v>0</v>
      </c>
      <c r="I411" s="3">
        <v>0</v>
      </c>
      <c r="J411" s="3">
        <v>0</v>
      </c>
      <c r="K411" s="3">
        <v>0</v>
      </c>
      <c r="L411" s="3" t="s">
        <v>172</v>
      </c>
      <c r="M411" s="3" t="s">
        <v>46</v>
      </c>
      <c r="N411" s="2"/>
      <c r="O411" s="2"/>
      <c r="P411" s="3" t="str">
        <f>IF(OR(COUNTIF('ثبت لیبل'!$B$11:$B$1010,TRIM(LEFT(C411,FIND("-",C411&amp;"-")-1)))&gt;0,COUNTIF('ثبت لیبل'!$B$11:$B$1010,SUBSTITUTE(TRIM(LEFT(C411,FIND("-",C411&amp;"-")-1)),"GD",""))&gt;0),"موجود","")</f>
        <v/>
      </c>
    </row>
    <row r="412" spans="1:16">
      <c r="A412" s="3">
        <v>411</v>
      </c>
      <c r="B412" s="3" t="s">
        <v>15</v>
      </c>
      <c r="C412" s="3" t="s">
        <v>443</v>
      </c>
      <c r="D412" s="3">
        <v>9.56</v>
      </c>
      <c r="E412" s="3">
        <v>750</v>
      </c>
      <c r="F412" s="3">
        <v>18</v>
      </c>
      <c r="G412" s="3">
        <v>18</v>
      </c>
      <c r="H412" s="3">
        <v>0</v>
      </c>
      <c r="I412" s="3">
        <v>0</v>
      </c>
      <c r="J412" s="3">
        <v>0</v>
      </c>
      <c r="K412" s="3">
        <v>0</v>
      </c>
      <c r="L412" s="3" t="s">
        <v>20</v>
      </c>
      <c r="M412" s="3" t="s">
        <v>46</v>
      </c>
      <c r="N412" s="2"/>
      <c r="O412" s="2"/>
      <c r="P412" s="3" t="str">
        <f>IF(OR(COUNTIF('ثبت لیبل'!$B$11:$B$1010,TRIM(LEFT(C412,FIND("-",C412&amp;"-")-1)))&gt;0,COUNTIF('ثبت لیبل'!$B$11:$B$1010,SUBSTITUTE(TRIM(LEFT(C412,FIND("-",C412&amp;"-")-1)),"GD",""))&gt;0),"موجود","")</f>
        <v/>
      </c>
    </row>
    <row r="413" spans="1:16">
      <c r="A413" s="3">
        <v>412</v>
      </c>
      <c r="B413" s="3" t="s">
        <v>15</v>
      </c>
      <c r="C413" s="3" t="s">
        <v>444</v>
      </c>
      <c r="D413" s="3">
        <v>12.79</v>
      </c>
      <c r="E413" s="3">
        <v>750</v>
      </c>
      <c r="F413" s="3">
        <v>18</v>
      </c>
      <c r="G413" s="3">
        <v>18</v>
      </c>
      <c r="H413" s="3">
        <v>0</v>
      </c>
      <c r="I413" s="3">
        <v>0</v>
      </c>
      <c r="J413" s="3">
        <v>0</v>
      </c>
      <c r="K413" s="3">
        <v>0</v>
      </c>
      <c r="L413" s="3" t="s">
        <v>20</v>
      </c>
      <c r="M413" s="3" t="s">
        <v>46</v>
      </c>
      <c r="N413" s="2"/>
      <c r="O413" s="2"/>
      <c r="P413" s="3" t="str">
        <f>IF(OR(COUNTIF('ثبت لیبل'!$B$11:$B$1010,TRIM(LEFT(C413,FIND("-",C413&amp;"-")-1)))&gt;0,COUNTIF('ثبت لیبل'!$B$11:$B$1010,SUBSTITUTE(TRIM(LEFT(C413,FIND("-",C413&amp;"-")-1)),"GD",""))&gt;0),"موجود","")</f>
        <v/>
      </c>
    </row>
    <row r="414" spans="1:16">
      <c r="A414" s="3">
        <v>413</v>
      </c>
      <c r="B414" s="3" t="s">
        <v>15</v>
      </c>
      <c r="C414" s="3" t="s">
        <v>445</v>
      </c>
      <c r="D414" s="3">
        <v>2.1800000000000002</v>
      </c>
      <c r="E414" s="3">
        <v>750</v>
      </c>
      <c r="F414" s="3">
        <v>11</v>
      </c>
      <c r="G414" s="2"/>
      <c r="H414" s="3">
        <v>0</v>
      </c>
      <c r="I414" s="2"/>
      <c r="J414" s="3">
        <v>0</v>
      </c>
      <c r="K414" s="2"/>
      <c r="L414" s="3" t="s">
        <v>20</v>
      </c>
      <c r="M414" s="3" t="s">
        <v>46</v>
      </c>
      <c r="N414" s="2"/>
      <c r="O414" s="2"/>
      <c r="P414" s="3" t="str">
        <f>IF(OR(COUNTIF('ثبت لیبل'!$B$11:$B$1010,TRIM(LEFT(C414,FIND("-",C414&amp;"-")-1)))&gt;0,COUNTIF('ثبت لیبل'!$B$11:$B$1010,SUBSTITUTE(TRIM(LEFT(C414,FIND("-",C414&amp;"-")-1)),"GD",""))&gt;0),"موجود","")</f>
        <v/>
      </c>
    </row>
    <row r="415" spans="1:16">
      <c r="A415" s="3">
        <v>414</v>
      </c>
      <c r="B415" s="3" t="s">
        <v>15</v>
      </c>
      <c r="C415" s="3" t="s">
        <v>446</v>
      </c>
      <c r="D415" s="3">
        <v>2.95</v>
      </c>
      <c r="E415" s="3">
        <v>750</v>
      </c>
      <c r="F415" s="3">
        <v>11</v>
      </c>
      <c r="G415" s="2"/>
      <c r="H415" s="3">
        <v>0</v>
      </c>
      <c r="I415" s="2"/>
      <c r="J415" s="3">
        <v>0</v>
      </c>
      <c r="K415" s="2"/>
      <c r="L415" s="3" t="s">
        <v>20</v>
      </c>
      <c r="M415" s="3" t="s">
        <v>46</v>
      </c>
      <c r="N415" s="2"/>
      <c r="O415" s="2"/>
      <c r="P415" s="3" t="str">
        <f>IF(OR(COUNTIF('ثبت لیبل'!$B$11:$B$1010,TRIM(LEFT(C415,FIND("-",C415&amp;"-")-1)))&gt;0,COUNTIF('ثبت لیبل'!$B$11:$B$1010,SUBSTITUTE(TRIM(LEFT(C415,FIND("-",C415&amp;"-")-1)),"GD",""))&gt;0),"موجود","")</f>
        <v/>
      </c>
    </row>
    <row r="416" spans="1:16">
      <c r="A416" s="3">
        <v>415</v>
      </c>
      <c r="B416" s="3" t="s">
        <v>15</v>
      </c>
      <c r="C416" s="3" t="s">
        <v>447</v>
      </c>
      <c r="D416" s="3">
        <v>1.47</v>
      </c>
      <c r="E416" s="3">
        <v>750</v>
      </c>
      <c r="F416" s="3">
        <v>12</v>
      </c>
      <c r="G416" s="3">
        <v>12</v>
      </c>
      <c r="H416" s="3">
        <v>0</v>
      </c>
      <c r="I416" s="3">
        <v>0</v>
      </c>
      <c r="J416" s="3">
        <v>0</v>
      </c>
      <c r="K416" s="3">
        <v>0</v>
      </c>
      <c r="L416" s="3" t="s">
        <v>20</v>
      </c>
      <c r="M416" s="3" t="s">
        <v>114</v>
      </c>
      <c r="N416" s="2"/>
      <c r="O416" s="2"/>
      <c r="P416" s="3" t="str">
        <f>IF(OR(COUNTIF('ثبت لیبل'!$B$11:$B$1010,TRIM(LEFT(C416,FIND("-",C416&amp;"-")-1)))&gt;0,COUNTIF('ثبت لیبل'!$B$11:$B$1010,SUBSTITUTE(TRIM(LEFT(C416,FIND("-",C416&amp;"-")-1)),"GD",""))&gt;0),"موجود","")</f>
        <v/>
      </c>
    </row>
    <row r="417" spans="1:16">
      <c r="A417" s="3">
        <v>416</v>
      </c>
      <c r="B417" s="3" t="s">
        <v>15</v>
      </c>
      <c r="C417" s="3" t="s">
        <v>448</v>
      </c>
      <c r="D417" s="3">
        <v>1.5</v>
      </c>
      <c r="E417" s="3">
        <v>750</v>
      </c>
      <c r="F417" s="3">
        <v>12</v>
      </c>
      <c r="G417" s="3">
        <v>12</v>
      </c>
      <c r="H417" s="3">
        <v>0</v>
      </c>
      <c r="I417" s="3">
        <v>0</v>
      </c>
      <c r="J417" s="3">
        <v>0</v>
      </c>
      <c r="K417" s="3">
        <v>0</v>
      </c>
      <c r="L417" s="3" t="s">
        <v>20</v>
      </c>
      <c r="M417" s="3" t="s">
        <v>114</v>
      </c>
      <c r="N417" s="2"/>
      <c r="O417" s="2"/>
      <c r="P417" s="3" t="str">
        <f>IF(OR(COUNTIF('ثبت لیبل'!$B$11:$B$1010,TRIM(LEFT(C417,FIND("-",C417&amp;"-")-1)))&gt;0,COUNTIF('ثبت لیبل'!$B$11:$B$1010,SUBSTITUTE(TRIM(LEFT(C417,FIND("-",C417&amp;"-")-1)),"GD",""))&gt;0),"موجود","")</f>
        <v/>
      </c>
    </row>
    <row r="418" spans="1:16">
      <c r="A418" s="3">
        <v>417</v>
      </c>
      <c r="B418" s="3" t="s">
        <v>15</v>
      </c>
      <c r="C418" s="3" t="s">
        <v>449</v>
      </c>
      <c r="D418" s="3">
        <v>0.49</v>
      </c>
      <c r="E418" s="3">
        <v>750</v>
      </c>
      <c r="F418" s="3">
        <v>12</v>
      </c>
      <c r="G418" s="2"/>
      <c r="H418" s="3">
        <v>0</v>
      </c>
      <c r="I418" s="2"/>
      <c r="J418" s="3">
        <v>0</v>
      </c>
      <c r="K418" s="2"/>
      <c r="L418" s="3" t="s">
        <v>17</v>
      </c>
      <c r="M418" s="3" t="s">
        <v>21</v>
      </c>
      <c r="N418" s="2"/>
      <c r="O418" s="2"/>
      <c r="P418" s="3" t="str">
        <f>IF(OR(COUNTIF('ثبت لیبل'!$B$11:$B$1010,TRIM(LEFT(C418,FIND("-",C418&amp;"-")-1)))&gt;0,COUNTIF('ثبت لیبل'!$B$11:$B$1010,SUBSTITUTE(TRIM(LEFT(C418,FIND("-",C418&amp;"-")-1)),"GD",""))&gt;0),"موجود","")</f>
        <v/>
      </c>
    </row>
    <row r="419" spans="1:16">
      <c r="A419" s="3">
        <v>418</v>
      </c>
      <c r="B419" s="3" t="s">
        <v>15</v>
      </c>
      <c r="C419" s="3" t="s">
        <v>450</v>
      </c>
      <c r="D419" s="3">
        <v>0.8</v>
      </c>
      <c r="E419" s="3">
        <v>750</v>
      </c>
      <c r="F419" s="3">
        <v>12</v>
      </c>
      <c r="G419" s="2"/>
      <c r="H419" s="3">
        <v>0</v>
      </c>
      <c r="I419" s="2"/>
      <c r="J419" s="3">
        <v>0</v>
      </c>
      <c r="K419" s="2"/>
      <c r="L419" s="3" t="s">
        <v>17</v>
      </c>
      <c r="M419" s="3" t="s">
        <v>21</v>
      </c>
      <c r="N419" s="2"/>
      <c r="O419" s="2"/>
      <c r="P419" s="3" t="str">
        <f>IF(OR(COUNTIF('ثبت لیبل'!$B$11:$B$1010,TRIM(LEFT(C419,FIND("-",C419&amp;"-")-1)))&gt;0,COUNTIF('ثبت لیبل'!$B$11:$B$1010,SUBSTITUTE(TRIM(LEFT(C419,FIND("-",C419&amp;"-")-1)),"GD",""))&gt;0),"موجود","")</f>
        <v/>
      </c>
    </row>
    <row r="420" spans="1:16">
      <c r="A420" s="3">
        <v>419</v>
      </c>
      <c r="B420" s="3" t="s">
        <v>15</v>
      </c>
      <c r="C420" s="3" t="s">
        <v>451</v>
      </c>
      <c r="D420" s="3">
        <v>0.81</v>
      </c>
      <c r="E420" s="3">
        <v>750</v>
      </c>
      <c r="F420" s="3">
        <v>12</v>
      </c>
      <c r="G420" s="3">
        <v>12</v>
      </c>
      <c r="H420" s="3">
        <v>0</v>
      </c>
      <c r="I420" s="3">
        <v>0</v>
      </c>
      <c r="J420" s="3">
        <v>0</v>
      </c>
      <c r="K420" s="3">
        <v>0</v>
      </c>
      <c r="L420" s="3" t="s">
        <v>17</v>
      </c>
      <c r="M420" s="3" t="s">
        <v>21</v>
      </c>
      <c r="N420" s="2"/>
      <c r="O420" s="2"/>
      <c r="P420" s="3" t="str">
        <f>IF(OR(COUNTIF('ثبت لیبل'!$B$11:$B$1010,TRIM(LEFT(C420,FIND("-",C420&amp;"-")-1)))&gt;0,COUNTIF('ثبت لیبل'!$B$11:$B$1010,SUBSTITUTE(TRIM(LEFT(C420,FIND("-",C420&amp;"-")-1)),"GD",""))&gt;0),"موجود","")</f>
        <v/>
      </c>
    </row>
    <row r="421" spans="1:16">
      <c r="A421" s="3">
        <v>420</v>
      </c>
      <c r="B421" s="3" t="s">
        <v>15</v>
      </c>
      <c r="C421" s="3" t="s">
        <v>452</v>
      </c>
      <c r="D421" s="3">
        <v>1.33</v>
      </c>
      <c r="E421" s="3">
        <v>750</v>
      </c>
      <c r="F421" s="3">
        <v>12</v>
      </c>
      <c r="G421" s="3">
        <v>12</v>
      </c>
      <c r="H421" s="3">
        <v>0</v>
      </c>
      <c r="I421" s="3">
        <v>0</v>
      </c>
      <c r="J421" s="3">
        <v>0</v>
      </c>
      <c r="K421" s="3">
        <v>0</v>
      </c>
      <c r="L421" s="3" t="s">
        <v>17</v>
      </c>
      <c r="M421" s="3" t="s">
        <v>21</v>
      </c>
      <c r="N421" s="2"/>
      <c r="O421" s="2"/>
      <c r="P421" s="3" t="str">
        <f>IF(OR(COUNTIF('ثبت لیبل'!$B$11:$B$1010,TRIM(LEFT(C421,FIND("-",C421&amp;"-")-1)))&gt;0,COUNTIF('ثبت لیبل'!$B$11:$B$1010,SUBSTITUTE(TRIM(LEFT(C421,FIND("-",C421&amp;"-")-1)),"GD",""))&gt;0),"موجود","")</f>
        <v/>
      </c>
    </row>
    <row r="422" spans="1:16">
      <c r="A422" s="3">
        <v>421</v>
      </c>
      <c r="B422" s="3" t="s">
        <v>15</v>
      </c>
      <c r="C422" s="3" t="s">
        <v>453</v>
      </c>
      <c r="D422" s="3">
        <v>1.3</v>
      </c>
      <c r="E422" s="3">
        <v>750</v>
      </c>
      <c r="F422" s="3">
        <v>12</v>
      </c>
      <c r="G422" s="3">
        <v>12</v>
      </c>
      <c r="H422" s="3">
        <v>0</v>
      </c>
      <c r="I422" s="3">
        <v>0</v>
      </c>
      <c r="J422" s="3">
        <v>0</v>
      </c>
      <c r="K422" s="3">
        <v>0</v>
      </c>
      <c r="L422" s="3" t="s">
        <v>17</v>
      </c>
      <c r="M422" s="3" t="s">
        <v>46</v>
      </c>
      <c r="N422" s="2"/>
      <c r="O422" s="2"/>
      <c r="P422" s="3" t="str">
        <f>IF(OR(COUNTIF('ثبت لیبل'!$B$11:$B$1010,TRIM(LEFT(C422,FIND("-",C422&amp;"-")-1)))&gt;0,COUNTIF('ثبت لیبل'!$B$11:$B$1010,SUBSTITUTE(TRIM(LEFT(C422,FIND("-",C422&amp;"-")-1)),"GD",""))&gt;0),"موجود","")</f>
        <v/>
      </c>
    </row>
    <row r="423" spans="1:16">
      <c r="A423" s="3">
        <v>422</v>
      </c>
      <c r="B423" s="3" t="s">
        <v>15</v>
      </c>
      <c r="C423" s="3" t="s">
        <v>454</v>
      </c>
      <c r="D423" s="3">
        <v>1.01</v>
      </c>
      <c r="E423" s="3">
        <v>750</v>
      </c>
      <c r="F423" s="3">
        <v>12</v>
      </c>
      <c r="G423" s="3">
        <v>12</v>
      </c>
      <c r="H423" s="3">
        <v>0</v>
      </c>
      <c r="I423" s="3">
        <v>0</v>
      </c>
      <c r="J423" s="3">
        <v>0</v>
      </c>
      <c r="K423" s="3">
        <v>0</v>
      </c>
      <c r="L423" s="3" t="s">
        <v>17</v>
      </c>
      <c r="M423" s="3" t="s">
        <v>46</v>
      </c>
      <c r="N423" s="2"/>
      <c r="O423" s="2"/>
      <c r="P423" s="3" t="str">
        <f>IF(OR(COUNTIF('ثبت لیبل'!$B$11:$B$1010,TRIM(LEFT(C423,FIND("-",C423&amp;"-")-1)))&gt;0,COUNTIF('ثبت لیبل'!$B$11:$B$1010,SUBSTITUTE(TRIM(LEFT(C423,FIND("-",C423&amp;"-")-1)),"GD",""))&gt;0),"موجود","")</f>
        <v/>
      </c>
    </row>
    <row r="424" spans="1:16">
      <c r="A424" s="3">
        <v>423</v>
      </c>
      <c r="B424" s="3" t="s">
        <v>15</v>
      </c>
      <c r="C424" s="3" t="s">
        <v>455</v>
      </c>
      <c r="D424" s="3">
        <v>1.08</v>
      </c>
      <c r="E424" s="3">
        <v>750</v>
      </c>
      <c r="F424" s="3">
        <v>12</v>
      </c>
      <c r="G424" s="3">
        <v>12</v>
      </c>
      <c r="H424" s="3">
        <v>0</v>
      </c>
      <c r="I424" s="3">
        <v>0</v>
      </c>
      <c r="J424" s="3">
        <v>0</v>
      </c>
      <c r="K424" s="3">
        <v>0</v>
      </c>
      <c r="L424" s="3" t="s">
        <v>17</v>
      </c>
      <c r="M424" s="3" t="s">
        <v>46</v>
      </c>
      <c r="N424" s="2"/>
      <c r="O424" s="2"/>
      <c r="P424" s="3" t="str">
        <f>IF(OR(COUNTIF('ثبت لیبل'!$B$11:$B$1010,TRIM(LEFT(C424,FIND("-",C424&amp;"-")-1)))&gt;0,COUNTIF('ثبت لیبل'!$B$11:$B$1010,SUBSTITUTE(TRIM(LEFT(C424,FIND("-",C424&amp;"-")-1)),"GD",""))&gt;0),"موجود","")</f>
        <v/>
      </c>
    </row>
    <row r="425" spans="1:16">
      <c r="A425" s="3">
        <v>424</v>
      </c>
      <c r="B425" s="3" t="s">
        <v>15</v>
      </c>
      <c r="C425" s="3" t="s">
        <v>456</v>
      </c>
      <c r="D425" s="3">
        <v>1.08</v>
      </c>
      <c r="E425" s="3">
        <v>750</v>
      </c>
      <c r="F425" s="3">
        <v>13</v>
      </c>
      <c r="G425" s="3">
        <v>13</v>
      </c>
      <c r="H425" s="3">
        <v>0</v>
      </c>
      <c r="I425" s="3">
        <v>0</v>
      </c>
      <c r="J425" s="3">
        <v>0</v>
      </c>
      <c r="K425" s="3">
        <v>0</v>
      </c>
      <c r="L425" s="3" t="s">
        <v>17</v>
      </c>
      <c r="M425" s="3" t="s">
        <v>46</v>
      </c>
      <c r="N425" s="2"/>
      <c r="O425" s="2"/>
      <c r="P425" s="3" t="str">
        <f>IF(OR(COUNTIF('ثبت لیبل'!$B$11:$B$1010,TRIM(LEFT(C425,FIND("-",C425&amp;"-")-1)))&gt;0,COUNTIF('ثبت لیبل'!$B$11:$B$1010,SUBSTITUTE(TRIM(LEFT(C425,FIND("-",C425&amp;"-")-1)),"GD",""))&gt;0),"موجود","")</f>
        <v/>
      </c>
    </row>
    <row r="426" spans="1:16">
      <c r="A426" s="3">
        <v>425</v>
      </c>
      <c r="B426" s="3" t="s">
        <v>15</v>
      </c>
      <c r="C426" s="3" t="s">
        <v>457</v>
      </c>
      <c r="D426" s="3">
        <v>1.3</v>
      </c>
      <c r="E426" s="3">
        <v>750</v>
      </c>
      <c r="F426" s="3">
        <v>12</v>
      </c>
      <c r="G426" s="3">
        <v>12</v>
      </c>
      <c r="H426" s="3">
        <v>0</v>
      </c>
      <c r="I426" s="3">
        <v>0</v>
      </c>
      <c r="J426" s="3">
        <v>0</v>
      </c>
      <c r="K426" s="3">
        <v>0</v>
      </c>
      <c r="L426" s="3" t="s">
        <v>17</v>
      </c>
      <c r="M426" s="3" t="s">
        <v>76</v>
      </c>
      <c r="N426" s="2"/>
      <c r="O426" s="2"/>
      <c r="P426" s="3" t="str">
        <f>IF(OR(COUNTIF('ثبت لیبل'!$B$11:$B$1010,TRIM(LEFT(C426,FIND("-",C426&amp;"-")-1)))&gt;0,COUNTIF('ثبت لیبل'!$B$11:$B$1010,SUBSTITUTE(TRIM(LEFT(C426,FIND("-",C426&amp;"-")-1)),"GD",""))&gt;0),"موجود","")</f>
        <v/>
      </c>
    </row>
    <row r="427" spans="1:16">
      <c r="A427" s="3">
        <v>426</v>
      </c>
      <c r="B427" s="3" t="s">
        <v>15</v>
      </c>
      <c r="C427" s="3" t="s">
        <v>458</v>
      </c>
      <c r="D427" s="3">
        <v>1.79</v>
      </c>
      <c r="E427" s="3">
        <v>750</v>
      </c>
      <c r="F427" s="3">
        <v>12</v>
      </c>
      <c r="G427" s="3">
        <v>12</v>
      </c>
      <c r="H427" s="3">
        <v>0</v>
      </c>
      <c r="I427" s="3">
        <v>0</v>
      </c>
      <c r="J427" s="3">
        <v>0</v>
      </c>
      <c r="K427" s="3">
        <v>0</v>
      </c>
      <c r="L427" s="3" t="s">
        <v>17</v>
      </c>
      <c r="M427" s="3" t="s">
        <v>76</v>
      </c>
      <c r="N427" s="2"/>
      <c r="O427" s="2"/>
      <c r="P427" s="3" t="str">
        <f>IF(OR(COUNTIF('ثبت لیبل'!$B$11:$B$1010,TRIM(LEFT(C427,FIND("-",C427&amp;"-")-1)))&gt;0,COUNTIF('ثبت لیبل'!$B$11:$B$1010,SUBSTITUTE(TRIM(LEFT(C427,FIND("-",C427&amp;"-")-1)),"GD",""))&gt;0),"موجود","")</f>
        <v/>
      </c>
    </row>
    <row r="428" spans="1:16">
      <c r="A428" s="3">
        <v>427</v>
      </c>
      <c r="B428" s="3" t="s">
        <v>15</v>
      </c>
      <c r="C428" s="3" t="s">
        <v>459</v>
      </c>
      <c r="D428" s="3">
        <v>1.46</v>
      </c>
      <c r="E428" s="3">
        <v>750</v>
      </c>
      <c r="F428" s="3">
        <v>13</v>
      </c>
      <c r="G428" s="2"/>
      <c r="H428" s="3">
        <v>0</v>
      </c>
      <c r="I428" s="2"/>
      <c r="J428" s="3">
        <v>0</v>
      </c>
      <c r="K428" s="2"/>
      <c r="L428" s="3" t="s">
        <v>17</v>
      </c>
      <c r="M428" s="3" t="s">
        <v>21</v>
      </c>
      <c r="N428" s="2"/>
      <c r="O428" s="2"/>
      <c r="P428" s="3" t="str">
        <f>IF(OR(COUNTIF('ثبت لیبل'!$B$11:$B$1010,TRIM(LEFT(C428,FIND("-",C428&amp;"-")-1)))&gt;0,COUNTIF('ثبت لیبل'!$B$11:$B$1010,SUBSTITUTE(TRIM(LEFT(C428,FIND("-",C428&amp;"-")-1)),"GD",""))&gt;0),"موجود","")</f>
        <v/>
      </c>
    </row>
    <row r="429" spans="1:16">
      <c r="A429" s="3">
        <v>428</v>
      </c>
      <c r="B429" s="3" t="s">
        <v>15</v>
      </c>
      <c r="C429" s="3" t="s">
        <v>460</v>
      </c>
      <c r="D429" s="3">
        <v>0.73</v>
      </c>
      <c r="E429" s="3">
        <v>750</v>
      </c>
      <c r="F429" s="3">
        <v>11</v>
      </c>
      <c r="G429" s="3">
        <v>11</v>
      </c>
      <c r="H429" s="3">
        <v>0</v>
      </c>
      <c r="I429" s="3">
        <v>0</v>
      </c>
      <c r="J429" s="3">
        <v>0</v>
      </c>
      <c r="K429" s="3">
        <v>0</v>
      </c>
      <c r="L429" s="3" t="s">
        <v>17</v>
      </c>
      <c r="M429" s="3" t="s">
        <v>76</v>
      </c>
      <c r="N429" s="2"/>
      <c r="O429" s="2"/>
      <c r="P429" s="3" t="str">
        <f>IF(OR(COUNTIF('ثبت لیبل'!$B$11:$B$1010,TRIM(LEFT(C429,FIND("-",C429&amp;"-")-1)))&gt;0,COUNTIF('ثبت لیبل'!$B$11:$B$1010,SUBSTITUTE(TRIM(LEFT(C429,FIND("-",C429&amp;"-")-1)),"GD",""))&gt;0),"موجود","")</f>
        <v/>
      </c>
    </row>
    <row r="430" spans="1:16">
      <c r="A430" s="3">
        <v>429</v>
      </c>
      <c r="B430" s="3" t="s">
        <v>15</v>
      </c>
      <c r="C430" s="3" t="s">
        <v>461</v>
      </c>
      <c r="D430" s="3">
        <v>1.1000000000000001</v>
      </c>
      <c r="E430" s="3">
        <v>750</v>
      </c>
      <c r="F430" s="3">
        <v>14</v>
      </c>
      <c r="G430" s="3">
        <v>14</v>
      </c>
      <c r="H430" s="3">
        <v>0</v>
      </c>
      <c r="I430" s="3">
        <v>0</v>
      </c>
      <c r="J430" s="3">
        <v>0</v>
      </c>
      <c r="K430" s="3">
        <v>0</v>
      </c>
      <c r="L430" s="3" t="s">
        <v>17</v>
      </c>
      <c r="M430" s="3" t="s">
        <v>21</v>
      </c>
      <c r="N430" s="2"/>
      <c r="O430" s="2"/>
      <c r="P430" s="3" t="str">
        <f>IF(OR(COUNTIF('ثبت لیبل'!$B$11:$B$1010,TRIM(LEFT(C430,FIND("-",C430&amp;"-")-1)))&gt;0,COUNTIF('ثبت لیبل'!$B$11:$B$1010,SUBSTITUTE(TRIM(LEFT(C430,FIND("-",C430&amp;"-")-1)),"GD",""))&gt;0),"موجود","")</f>
        <v/>
      </c>
    </row>
    <row r="431" spans="1:16">
      <c r="A431" s="3">
        <v>430</v>
      </c>
      <c r="B431" s="3" t="s">
        <v>15</v>
      </c>
      <c r="C431" s="3" t="s">
        <v>462</v>
      </c>
      <c r="D431" s="3">
        <v>1</v>
      </c>
      <c r="E431" s="3">
        <v>750</v>
      </c>
      <c r="F431" s="3">
        <v>13</v>
      </c>
      <c r="G431" s="2"/>
      <c r="H431" s="3">
        <v>0</v>
      </c>
      <c r="I431" s="2"/>
      <c r="J431" s="3">
        <v>0</v>
      </c>
      <c r="K431" s="2"/>
      <c r="L431" s="3" t="s">
        <v>17</v>
      </c>
      <c r="M431" s="3" t="s">
        <v>21</v>
      </c>
      <c r="N431" s="2"/>
      <c r="O431" s="2"/>
      <c r="P431" s="3" t="str">
        <f>IF(OR(COUNTIF('ثبت لیبل'!$B$11:$B$1010,TRIM(LEFT(C431,FIND("-",C431&amp;"-")-1)))&gt;0,COUNTIF('ثبت لیبل'!$B$11:$B$1010,SUBSTITUTE(TRIM(LEFT(C431,FIND("-",C431&amp;"-")-1)),"GD",""))&gt;0),"موجود","")</f>
        <v/>
      </c>
    </row>
    <row r="432" spans="1:16">
      <c r="A432" s="3">
        <v>431</v>
      </c>
      <c r="B432" s="3" t="s">
        <v>15</v>
      </c>
      <c r="C432" s="3" t="s">
        <v>463</v>
      </c>
      <c r="D432" s="3">
        <v>0.95</v>
      </c>
      <c r="E432" s="3">
        <v>750</v>
      </c>
      <c r="F432" s="3">
        <v>11</v>
      </c>
      <c r="G432" s="3">
        <v>11</v>
      </c>
      <c r="H432" s="3">
        <v>0</v>
      </c>
      <c r="I432" s="3">
        <v>0</v>
      </c>
      <c r="J432" s="3">
        <v>0</v>
      </c>
      <c r="K432" s="3">
        <v>0</v>
      </c>
      <c r="L432" s="3" t="s">
        <v>17</v>
      </c>
      <c r="M432" s="3" t="s">
        <v>76</v>
      </c>
      <c r="N432" s="2"/>
      <c r="O432" s="2"/>
      <c r="P432" s="3" t="str">
        <f>IF(OR(COUNTIF('ثبت لیبل'!$B$11:$B$1010,TRIM(LEFT(C432,FIND("-",C432&amp;"-")-1)))&gt;0,COUNTIF('ثبت لیبل'!$B$11:$B$1010,SUBSTITUTE(TRIM(LEFT(C432,FIND("-",C432&amp;"-")-1)),"GD",""))&gt;0),"موجود","")</f>
        <v/>
      </c>
    </row>
    <row r="433" spans="1:16">
      <c r="A433" s="3">
        <v>432</v>
      </c>
      <c r="B433" s="3" t="s">
        <v>15</v>
      </c>
      <c r="C433" s="3" t="s">
        <v>464</v>
      </c>
      <c r="D433" s="3">
        <v>0.92</v>
      </c>
      <c r="E433" s="3">
        <v>750</v>
      </c>
      <c r="F433" s="3">
        <v>11</v>
      </c>
      <c r="G433" s="3">
        <v>11</v>
      </c>
      <c r="H433" s="3">
        <v>0</v>
      </c>
      <c r="I433" s="3">
        <v>0</v>
      </c>
      <c r="J433" s="3">
        <v>0</v>
      </c>
      <c r="K433" s="3">
        <v>0</v>
      </c>
      <c r="L433" s="3" t="s">
        <v>17</v>
      </c>
      <c r="M433" s="3" t="s">
        <v>76</v>
      </c>
      <c r="N433" s="2"/>
      <c r="O433" s="2"/>
      <c r="P433" s="3" t="str">
        <f>IF(OR(COUNTIF('ثبت لیبل'!$B$11:$B$1010,TRIM(LEFT(C433,FIND("-",C433&amp;"-")-1)))&gt;0,COUNTIF('ثبت لیبل'!$B$11:$B$1010,SUBSTITUTE(TRIM(LEFT(C433,FIND("-",C433&amp;"-")-1)),"GD",""))&gt;0),"موجود","")</f>
        <v/>
      </c>
    </row>
    <row r="434" spans="1:16">
      <c r="A434" s="3">
        <v>433</v>
      </c>
      <c r="B434" s="3" t="s">
        <v>15</v>
      </c>
      <c r="C434" s="3" t="s">
        <v>465</v>
      </c>
      <c r="D434" s="3">
        <v>0.7</v>
      </c>
      <c r="E434" s="3">
        <v>750</v>
      </c>
      <c r="F434" s="3">
        <v>11</v>
      </c>
      <c r="G434" s="3">
        <v>11</v>
      </c>
      <c r="H434" s="3">
        <v>0</v>
      </c>
      <c r="I434" s="3">
        <v>0</v>
      </c>
      <c r="J434" s="3">
        <v>0</v>
      </c>
      <c r="K434" s="3">
        <v>0</v>
      </c>
      <c r="L434" s="3" t="s">
        <v>17</v>
      </c>
      <c r="M434" s="3" t="s">
        <v>76</v>
      </c>
      <c r="N434" s="2"/>
      <c r="O434" s="2"/>
      <c r="P434" s="3" t="str">
        <f>IF(OR(COUNTIF('ثبت لیبل'!$B$11:$B$1010,TRIM(LEFT(C434,FIND("-",C434&amp;"-")-1)))&gt;0,COUNTIF('ثبت لیبل'!$B$11:$B$1010,SUBSTITUTE(TRIM(LEFT(C434,FIND("-",C434&amp;"-")-1)),"GD",""))&gt;0),"موجود","")</f>
        <v/>
      </c>
    </row>
    <row r="435" spans="1:16">
      <c r="A435" s="3">
        <v>434</v>
      </c>
      <c r="B435" s="3" t="s">
        <v>15</v>
      </c>
      <c r="C435" s="3" t="s">
        <v>466</v>
      </c>
      <c r="D435" s="3">
        <v>0.98</v>
      </c>
      <c r="E435" s="3">
        <v>750</v>
      </c>
      <c r="F435" s="3">
        <v>11</v>
      </c>
      <c r="G435" s="3">
        <v>11</v>
      </c>
      <c r="H435" s="3">
        <v>0</v>
      </c>
      <c r="I435" s="3">
        <v>0</v>
      </c>
      <c r="J435" s="3">
        <v>0</v>
      </c>
      <c r="K435" s="3">
        <v>0</v>
      </c>
      <c r="L435" s="3" t="s">
        <v>17</v>
      </c>
      <c r="M435" s="3" t="s">
        <v>76</v>
      </c>
      <c r="N435" s="2"/>
      <c r="O435" s="2"/>
      <c r="P435" s="3" t="str">
        <f>IF(OR(COUNTIF('ثبت لیبل'!$B$11:$B$1010,TRIM(LEFT(C435,FIND("-",C435&amp;"-")-1)))&gt;0,COUNTIF('ثبت لیبل'!$B$11:$B$1010,SUBSTITUTE(TRIM(LEFT(C435,FIND("-",C435&amp;"-")-1)),"GD",""))&gt;0),"موجود","")</f>
        <v/>
      </c>
    </row>
    <row r="436" spans="1:16">
      <c r="A436" s="3">
        <v>435</v>
      </c>
      <c r="B436" s="3" t="s">
        <v>232</v>
      </c>
      <c r="C436" s="3" t="s">
        <v>467</v>
      </c>
      <c r="D436" s="3">
        <v>0.8</v>
      </c>
      <c r="E436" s="3">
        <v>750</v>
      </c>
      <c r="F436" s="3">
        <v>0</v>
      </c>
      <c r="G436" s="3">
        <v>0</v>
      </c>
      <c r="H436" s="3">
        <v>0</v>
      </c>
      <c r="I436" s="3">
        <v>0</v>
      </c>
      <c r="J436" s="4">
        <v>484000</v>
      </c>
      <c r="K436" s="4">
        <v>1064800</v>
      </c>
      <c r="L436" s="3" t="s">
        <v>17</v>
      </c>
      <c r="M436" s="3" t="s">
        <v>234</v>
      </c>
      <c r="N436" s="2"/>
      <c r="O436" s="2"/>
      <c r="P436" s="3" t="str">
        <f>IF(OR(COUNTIF('ثبت لیبل'!$B$11:$B$1010,TRIM(LEFT(C436,FIND("-",C436&amp;"-")-1)))&gt;0,COUNTIF('ثبت لیبل'!$B$11:$B$1010,SUBSTITUTE(TRIM(LEFT(C436,FIND("-",C436&amp;"-")-1)),"GD",""))&gt;0),"موجود","")</f>
        <v/>
      </c>
    </row>
    <row r="437" spans="1:16">
      <c r="A437" s="3">
        <v>436</v>
      </c>
      <c r="B437" s="3" t="s">
        <v>232</v>
      </c>
      <c r="C437" s="3" t="s">
        <v>468</v>
      </c>
      <c r="D437" s="3">
        <v>0.3</v>
      </c>
      <c r="E437" s="3">
        <v>750</v>
      </c>
      <c r="F437" s="3">
        <v>0</v>
      </c>
      <c r="G437" s="3">
        <v>0</v>
      </c>
      <c r="H437" s="3">
        <v>0</v>
      </c>
      <c r="I437" s="3">
        <v>0</v>
      </c>
      <c r="J437" s="4">
        <v>484000</v>
      </c>
      <c r="K437" s="4">
        <v>1064800</v>
      </c>
      <c r="L437" s="3" t="s">
        <v>17</v>
      </c>
      <c r="M437" s="3" t="s">
        <v>234</v>
      </c>
      <c r="N437" s="2"/>
      <c r="O437" s="2"/>
      <c r="P437" s="3" t="str">
        <f>IF(OR(COUNTIF('ثبت لیبل'!$B$11:$B$1010,TRIM(LEFT(C437,FIND("-",C437&amp;"-")-1)))&gt;0,COUNTIF('ثبت لیبل'!$B$11:$B$1010,SUBSTITUTE(TRIM(LEFT(C437,FIND("-",C437&amp;"-")-1)),"GD",""))&gt;0),"موجود","")</f>
        <v/>
      </c>
    </row>
    <row r="438" spans="1:16">
      <c r="A438" s="3">
        <v>437</v>
      </c>
      <c r="B438" s="3" t="s">
        <v>232</v>
      </c>
      <c r="C438" s="3" t="s">
        <v>469</v>
      </c>
      <c r="D438" s="3">
        <v>0.3</v>
      </c>
      <c r="E438" s="3">
        <v>750</v>
      </c>
      <c r="F438" s="3">
        <v>0</v>
      </c>
      <c r="G438" s="3">
        <v>0</v>
      </c>
      <c r="H438" s="3">
        <v>0</v>
      </c>
      <c r="I438" s="3">
        <v>0</v>
      </c>
      <c r="J438" s="4">
        <v>484000</v>
      </c>
      <c r="K438" s="4">
        <v>1064800</v>
      </c>
      <c r="L438" s="3" t="s">
        <v>17</v>
      </c>
      <c r="M438" s="3" t="s">
        <v>234</v>
      </c>
      <c r="N438" s="2"/>
      <c r="O438" s="2"/>
      <c r="P438" s="3" t="str">
        <f>IF(OR(COUNTIF('ثبت لیبل'!$B$11:$B$1010,TRIM(LEFT(C438,FIND("-",C438&amp;"-")-1)))&gt;0,COUNTIF('ثبت لیبل'!$B$11:$B$1010,SUBSTITUTE(TRIM(LEFT(C438,FIND("-",C438&amp;"-")-1)),"GD",""))&gt;0),"موجود","")</f>
        <v/>
      </c>
    </row>
    <row r="439" spans="1:16">
      <c r="A439" s="3">
        <v>438</v>
      </c>
      <c r="B439" s="3" t="s">
        <v>232</v>
      </c>
      <c r="C439" s="3" t="s">
        <v>470</v>
      </c>
      <c r="D439" s="3">
        <v>0.3</v>
      </c>
      <c r="E439" s="3">
        <v>750</v>
      </c>
      <c r="F439" s="3">
        <v>0</v>
      </c>
      <c r="G439" s="3">
        <v>0</v>
      </c>
      <c r="H439" s="3">
        <v>0</v>
      </c>
      <c r="I439" s="3">
        <v>0</v>
      </c>
      <c r="J439" s="4">
        <v>484000</v>
      </c>
      <c r="K439" s="4">
        <v>1064800</v>
      </c>
      <c r="L439" s="3" t="s">
        <v>17</v>
      </c>
      <c r="M439" s="3" t="s">
        <v>234</v>
      </c>
      <c r="N439" s="2"/>
      <c r="O439" s="2"/>
      <c r="P439" s="3" t="str">
        <f>IF(OR(COUNTIF('ثبت لیبل'!$B$11:$B$1010,TRIM(LEFT(C439,FIND("-",C439&amp;"-")-1)))&gt;0,COUNTIF('ثبت لیبل'!$B$11:$B$1010,SUBSTITUTE(TRIM(LEFT(C439,FIND("-",C439&amp;"-")-1)),"GD",""))&gt;0),"موجود","")</f>
        <v/>
      </c>
    </row>
    <row r="440" spans="1:16">
      <c r="A440" s="3">
        <v>439</v>
      </c>
      <c r="B440" s="3" t="s">
        <v>232</v>
      </c>
      <c r="C440" s="3" t="s">
        <v>471</v>
      </c>
      <c r="D440" s="3">
        <v>0.2</v>
      </c>
      <c r="E440" s="3">
        <v>750</v>
      </c>
      <c r="F440" s="3">
        <v>0</v>
      </c>
      <c r="G440" s="3">
        <v>0</v>
      </c>
      <c r="H440" s="3">
        <v>0</v>
      </c>
      <c r="I440" s="3">
        <v>0</v>
      </c>
      <c r="J440" s="4">
        <v>484000</v>
      </c>
      <c r="K440" s="4">
        <v>1064800</v>
      </c>
      <c r="L440" s="3" t="s">
        <v>17</v>
      </c>
      <c r="M440" s="3" t="s">
        <v>234</v>
      </c>
      <c r="N440" s="2"/>
      <c r="O440" s="2"/>
      <c r="P440" s="3" t="str">
        <f>IF(OR(COUNTIF('ثبت لیبل'!$B$11:$B$1010,TRIM(LEFT(C440,FIND("-",C440&amp;"-")-1)))&gt;0,COUNTIF('ثبت لیبل'!$B$11:$B$1010,SUBSTITUTE(TRIM(LEFT(C440,FIND("-",C440&amp;"-")-1)),"GD",""))&gt;0),"موجود","")</f>
        <v/>
      </c>
    </row>
    <row r="441" spans="1:16">
      <c r="A441" s="3">
        <v>440</v>
      </c>
      <c r="B441" s="3" t="s">
        <v>232</v>
      </c>
      <c r="C441" s="3" t="s">
        <v>472</v>
      </c>
      <c r="D441" s="3">
        <v>1.5</v>
      </c>
      <c r="E441" s="3">
        <v>750</v>
      </c>
      <c r="F441" s="3">
        <v>0</v>
      </c>
      <c r="G441" s="3">
        <v>0</v>
      </c>
      <c r="H441" s="3">
        <v>0</v>
      </c>
      <c r="I441" s="3">
        <v>0</v>
      </c>
      <c r="J441" s="4">
        <v>484000</v>
      </c>
      <c r="K441" s="4">
        <v>1064800</v>
      </c>
      <c r="L441" s="3" t="s">
        <v>17</v>
      </c>
      <c r="M441" s="3" t="s">
        <v>234</v>
      </c>
      <c r="N441" s="2"/>
      <c r="O441" s="2"/>
      <c r="P441" s="3" t="str">
        <f>IF(OR(COUNTIF('ثبت لیبل'!$B$11:$B$1010,TRIM(LEFT(C441,FIND("-",C441&amp;"-")-1)))&gt;0,COUNTIF('ثبت لیبل'!$B$11:$B$1010,SUBSTITUTE(TRIM(LEFT(C441,FIND("-",C441&amp;"-")-1)),"GD",""))&gt;0),"موجود","")</f>
        <v/>
      </c>
    </row>
    <row r="442" spans="1:16">
      <c r="A442" s="3">
        <v>441</v>
      </c>
      <c r="B442" s="3" t="s">
        <v>15</v>
      </c>
      <c r="C442" s="3" t="s">
        <v>473</v>
      </c>
      <c r="D442" s="3">
        <v>1.92</v>
      </c>
      <c r="E442" s="3">
        <v>750</v>
      </c>
      <c r="F442" s="3">
        <v>13</v>
      </c>
      <c r="G442" s="3">
        <v>19</v>
      </c>
      <c r="H442" s="3">
        <v>0</v>
      </c>
      <c r="I442" s="3">
        <v>0</v>
      </c>
      <c r="J442" s="3">
        <v>0</v>
      </c>
      <c r="K442" s="3">
        <v>0</v>
      </c>
      <c r="L442" s="3" t="s">
        <v>17</v>
      </c>
      <c r="M442" s="3" t="s">
        <v>46</v>
      </c>
      <c r="N442" s="2"/>
      <c r="O442" s="2"/>
      <c r="P442" s="3" t="str">
        <f>IF(OR(COUNTIF('ثبت لیبل'!$B$11:$B$1010,TRIM(LEFT(C442,FIND("-",C442&amp;"-")-1)))&gt;0,COUNTIF('ثبت لیبل'!$B$11:$B$1010,SUBSTITUTE(TRIM(LEFT(C442,FIND("-",C442&amp;"-")-1)),"GD",""))&gt;0),"موجود","")</f>
        <v/>
      </c>
    </row>
    <row r="443" spans="1:16">
      <c r="A443" s="3">
        <v>442</v>
      </c>
      <c r="B443" s="3" t="s">
        <v>15</v>
      </c>
      <c r="C443" s="3" t="s">
        <v>474</v>
      </c>
      <c r="D443" s="3">
        <v>2</v>
      </c>
      <c r="E443" s="3">
        <v>750</v>
      </c>
      <c r="F443" s="3">
        <v>13</v>
      </c>
      <c r="G443" s="3">
        <v>19</v>
      </c>
      <c r="H443" s="3">
        <v>0</v>
      </c>
      <c r="I443" s="3">
        <v>0</v>
      </c>
      <c r="J443" s="3">
        <v>0</v>
      </c>
      <c r="K443" s="3">
        <v>0</v>
      </c>
      <c r="L443" s="3" t="s">
        <v>17</v>
      </c>
      <c r="M443" s="3" t="s">
        <v>46</v>
      </c>
      <c r="N443" s="2"/>
      <c r="O443" s="2"/>
      <c r="P443" s="3" t="str">
        <f>IF(OR(COUNTIF('ثبت لیبل'!$B$11:$B$1010,TRIM(LEFT(C443,FIND("-",C443&amp;"-")-1)))&gt;0,COUNTIF('ثبت لیبل'!$B$11:$B$1010,SUBSTITUTE(TRIM(LEFT(C443,FIND("-",C443&amp;"-")-1)),"GD",""))&gt;0),"موجود","")</f>
        <v/>
      </c>
    </row>
    <row r="444" spans="1:16">
      <c r="A444" s="3">
        <v>443</v>
      </c>
      <c r="B444" s="3" t="s">
        <v>15</v>
      </c>
      <c r="C444" s="3" t="s">
        <v>475</v>
      </c>
      <c r="D444" s="3">
        <v>2.5299999999999998</v>
      </c>
      <c r="E444" s="3">
        <v>750</v>
      </c>
      <c r="F444" s="3">
        <v>10</v>
      </c>
      <c r="G444" s="2"/>
      <c r="H444" s="3">
        <v>0</v>
      </c>
      <c r="I444" s="2"/>
      <c r="J444" s="3">
        <v>0</v>
      </c>
      <c r="K444" s="2"/>
      <c r="L444" s="3" t="s">
        <v>17</v>
      </c>
      <c r="M444" s="3" t="s">
        <v>46</v>
      </c>
      <c r="N444" s="2"/>
      <c r="O444" s="2"/>
      <c r="P444" s="3" t="str">
        <f>IF(OR(COUNTIF('ثبت لیبل'!$B$11:$B$1010,TRIM(LEFT(C444,FIND("-",C444&amp;"-")-1)))&gt;0,COUNTIF('ثبت لیبل'!$B$11:$B$1010,SUBSTITUTE(TRIM(LEFT(C444,FIND("-",C444&amp;"-")-1)),"GD",""))&gt;0),"موجود","")</f>
        <v/>
      </c>
    </row>
    <row r="445" spans="1:16">
      <c r="A445" s="3">
        <v>444</v>
      </c>
      <c r="B445" s="3" t="s">
        <v>15</v>
      </c>
      <c r="C445" s="3" t="s">
        <v>476</v>
      </c>
      <c r="D445" s="3">
        <v>2.36</v>
      </c>
      <c r="E445" s="3">
        <v>750</v>
      </c>
      <c r="F445" s="3">
        <v>10</v>
      </c>
      <c r="G445" s="2"/>
      <c r="H445" s="3">
        <v>0</v>
      </c>
      <c r="I445" s="2"/>
      <c r="J445" s="3">
        <v>0</v>
      </c>
      <c r="K445" s="2"/>
      <c r="L445" s="3" t="s">
        <v>20</v>
      </c>
      <c r="M445" s="3" t="s">
        <v>46</v>
      </c>
      <c r="N445" s="2"/>
      <c r="O445" s="2"/>
      <c r="P445" s="3" t="str">
        <f>IF(OR(COUNTIF('ثبت لیبل'!$B$11:$B$1010,TRIM(LEFT(C445,FIND("-",C445&amp;"-")-1)))&gt;0,COUNTIF('ثبت لیبل'!$B$11:$B$1010,SUBSTITUTE(TRIM(LEFT(C445,FIND("-",C445&amp;"-")-1)),"GD",""))&gt;0),"موجود","")</f>
        <v/>
      </c>
    </row>
    <row r="446" spans="1:16">
      <c r="A446" s="3">
        <v>445</v>
      </c>
      <c r="B446" s="3" t="s">
        <v>15</v>
      </c>
      <c r="C446" s="3" t="s">
        <v>477</v>
      </c>
      <c r="D446" s="3">
        <v>1.71</v>
      </c>
      <c r="E446" s="3">
        <v>750</v>
      </c>
      <c r="F446" s="3">
        <v>10</v>
      </c>
      <c r="G446" s="3">
        <v>16</v>
      </c>
      <c r="H446" s="3">
        <v>0</v>
      </c>
      <c r="I446" s="3">
        <v>0</v>
      </c>
      <c r="J446" s="3">
        <v>0</v>
      </c>
      <c r="K446" s="3">
        <v>0</v>
      </c>
      <c r="L446" s="3" t="s">
        <v>20</v>
      </c>
      <c r="M446" s="3" t="s">
        <v>46</v>
      </c>
      <c r="N446" s="2"/>
      <c r="O446" s="2"/>
      <c r="P446" s="3" t="str">
        <f>IF(OR(COUNTIF('ثبت لیبل'!$B$11:$B$1010,TRIM(LEFT(C446,FIND("-",C446&amp;"-")-1)))&gt;0,COUNTIF('ثبت لیبل'!$B$11:$B$1010,SUBSTITUTE(TRIM(LEFT(C446,FIND("-",C446&amp;"-")-1)),"GD",""))&gt;0),"موجود","")</f>
        <v/>
      </c>
    </row>
    <row r="447" spans="1:16">
      <c r="A447" s="3">
        <v>446</v>
      </c>
      <c r="B447" s="3" t="s">
        <v>15</v>
      </c>
      <c r="C447" s="3" t="s">
        <v>478</v>
      </c>
      <c r="D447" s="3">
        <v>2.52</v>
      </c>
      <c r="E447" s="3">
        <v>750</v>
      </c>
      <c r="F447" s="3">
        <v>13</v>
      </c>
      <c r="G447" s="3">
        <v>19</v>
      </c>
      <c r="H447" s="3">
        <v>0</v>
      </c>
      <c r="I447" s="3">
        <v>0</v>
      </c>
      <c r="J447" s="3">
        <v>0</v>
      </c>
      <c r="K447" s="3">
        <v>0</v>
      </c>
      <c r="L447" s="3" t="s">
        <v>17</v>
      </c>
      <c r="M447" s="3" t="s">
        <v>46</v>
      </c>
      <c r="N447" s="2"/>
      <c r="O447" s="2"/>
      <c r="P447" s="3" t="str">
        <f>IF(OR(COUNTIF('ثبت لیبل'!$B$11:$B$1010,TRIM(LEFT(C447,FIND("-",C447&amp;"-")-1)))&gt;0,COUNTIF('ثبت لیبل'!$B$11:$B$1010,SUBSTITUTE(TRIM(LEFT(C447,FIND("-",C447&amp;"-")-1)),"GD",""))&gt;0),"موجود","")</f>
        <v/>
      </c>
    </row>
    <row r="448" spans="1:16">
      <c r="A448" s="3">
        <v>447</v>
      </c>
      <c r="B448" s="3" t="s">
        <v>15</v>
      </c>
      <c r="C448" s="3" t="s">
        <v>479</v>
      </c>
      <c r="D448" s="3">
        <v>2.31</v>
      </c>
      <c r="E448" s="3">
        <v>750</v>
      </c>
      <c r="F448" s="3">
        <v>12</v>
      </c>
      <c r="G448" s="3">
        <v>18</v>
      </c>
      <c r="H448" s="3">
        <v>0</v>
      </c>
      <c r="I448" s="3">
        <v>0</v>
      </c>
      <c r="J448" s="3">
        <v>0</v>
      </c>
      <c r="K448" s="3">
        <v>0</v>
      </c>
      <c r="L448" s="3" t="s">
        <v>17</v>
      </c>
      <c r="M448" s="3" t="s">
        <v>18</v>
      </c>
      <c r="N448" s="2"/>
      <c r="O448" s="2"/>
      <c r="P448" s="3" t="str">
        <f>IF(OR(COUNTIF('ثبت لیبل'!$B$11:$B$1010,TRIM(LEFT(C448,FIND("-",C448&amp;"-")-1)))&gt;0,COUNTIF('ثبت لیبل'!$B$11:$B$1010,SUBSTITUTE(TRIM(LEFT(C448,FIND("-",C448&amp;"-")-1)),"GD",""))&gt;0),"موجود","")</f>
        <v/>
      </c>
    </row>
    <row r="449" spans="1:16">
      <c r="A449" s="3">
        <v>448</v>
      </c>
      <c r="B449" s="3" t="s">
        <v>15</v>
      </c>
      <c r="C449" s="3" t="s">
        <v>480</v>
      </c>
      <c r="D449" s="3">
        <v>1.04</v>
      </c>
      <c r="E449" s="3">
        <v>750</v>
      </c>
      <c r="F449" s="3">
        <v>10</v>
      </c>
      <c r="G449" s="3">
        <v>16</v>
      </c>
      <c r="H449" s="3">
        <v>0</v>
      </c>
      <c r="I449" s="3">
        <v>0</v>
      </c>
      <c r="J449" s="3">
        <v>0</v>
      </c>
      <c r="K449" s="3">
        <v>0</v>
      </c>
      <c r="L449" s="3" t="s">
        <v>17</v>
      </c>
      <c r="M449" s="3" t="s">
        <v>114</v>
      </c>
      <c r="N449" s="2"/>
      <c r="O449" s="2"/>
      <c r="P449" s="3" t="str">
        <f>IF(OR(COUNTIF('ثبت لیبل'!$B$11:$B$1010,TRIM(LEFT(C449,FIND("-",C449&amp;"-")-1)))&gt;0,COUNTIF('ثبت لیبل'!$B$11:$B$1010,SUBSTITUTE(TRIM(LEFT(C449,FIND("-",C449&amp;"-")-1)),"GD",""))&gt;0),"موجود","")</f>
        <v/>
      </c>
    </row>
    <row r="450" spans="1:16">
      <c r="A450" s="3">
        <v>449</v>
      </c>
      <c r="B450" s="3" t="s">
        <v>15</v>
      </c>
      <c r="C450" s="3" t="s">
        <v>481</v>
      </c>
      <c r="D450" s="3">
        <v>2.9</v>
      </c>
      <c r="E450" s="3">
        <v>750</v>
      </c>
      <c r="F450" s="3">
        <v>14</v>
      </c>
      <c r="G450" s="3">
        <v>20</v>
      </c>
      <c r="H450" s="3">
        <v>0</v>
      </c>
      <c r="I450" s="3">
        <v>0</v>
      </c>
      <c r="J450" s="3">
        <v>0</v>
      </c>
      <c r="K450" s="3">
        <v>0</v>
      </c>
      <c r="L450" s="3" t="s">
        <v>17</v>
      </c>
      <c r="M450" s="3" t="s">
        <v>18</v>
      </c>
      <c r="N450" s="2"/>
      <c r="O450" s="2"/>
      <c r="P450" s="3" t="str">
        <f>IF(OR(COUNTIF('ثبت لیبل'!$B$11:$B$1010,TRIM(LEFT(C450,FIND("-",C450&amp;"-")-1)))&gt;0,COUNTIF('ثبت لیبل'!$B$11:$B$1010,SUBSTITUTE(TRIM(LEFT(C450,FIND("-",C450&amp;"-")-1)),"GD",""))&gt;0),"موجود","")</f>
        <v/>
      </c>
    </row>
    <row r="451" spans="1:16">
      <c r="A451" s="3">
        <v>450</v>
      </c>
      <c r="B451" s="3" t="s">
        <v>15</v>
      </c>
      <c r="C451" s="3" t="s">
        <v>482</v>
      </c>
      <c r="D451" s="3">
        <v>2.11</v>
      </c>
      <c r="E451" s="3">
        <v>750</v>
      </c>
      <c r="F451" s="3">
        <v>17</v>
      </c>
      <c r="G451" s="3">
        <v>23</v>
      </c>
      <c r="H451" s="3">
        <v>0</v>
      </c>
      <c r="I451" s="3">
        <v>0</v>
      </c>
      <c r="J451" s="3">
        <v>0</v>
      </c>
      <c r="K451" s="3">
        <v>0</v>
      </c>
      <c r="L451" s="3" t="s">
        <v>170</v>
      </c>
      <c r="M451" s="3" t="s">
        <v>76</v>
      </c>
      <c r="N451" s="2"/>
      <c r="O451" s="2"/>
      <c r="P451" s="3" t="str">
        <f>IF(OR(COUNTIF('ثبت لیبل'!$B$11:$B$1010,TRIM(LEFT(C451,FIND("-",C451&amp;"-")-1)))&gt;0,COUNTIF('ثبت لیبل'!$B$11:$B$1010,SUBSTITUTE(TRIM(LEFT(C451,FIND("-",C451&amp;"-")-1)),"GD",""))&gt;0),"موجود","")</f>
        <v/>
      </c>
    </row>
    <row r="452" spans="1:16">
      <c r="A452" s="3">
        <v>451</v>
      </c>
      <c r="B452" s="3" t="s">
        <v>15</v>
      </c>
      <c r="C452" s="3" t="s">
        <v>483</v>
      </c>
      <c r="D452" s="3">
        <v>2.0299999999999998</v>
      </c>
      <c r="E452" s="3">
        <v>750</v>
      </c>
      <c r="F452" s="3">
        <v>17</v>
      </c>
      <c r="G452" s="3">
        <v>23</v>
      </c>
      <c r="H452" s="3">
        <v>0</v>
      </c>
      <c r="I452" s="3">
        <v>0</v>
      </c>
      <c r="J452" s="3">
        <v>0</v>
      </c>
      <c r="K452" s="3">
        <v>0</v>
      </c>
      <c r="L452" s="3" t="s">
        <v>170</v>
      </c>
      <c r="M452" s="3" t="s">
        <v>76</v>
      </c>
      <c r="N452" s="2"/>
      <c r="O452" s="2"/>
      <c r="P452" s="3" t="str">
        <f>IF(OR(COUNTIF('ثبت لیبل'!$B$11:$B$1010,TRIM(LEFT(C452,FIND("-",C452&amp;"-")-1)))&gt;0,COUNTIF('ثبت لیبل'!$B$11:$B$1010,SUBSTITUTE(TRIM(LEFT(C452,FIND("-",C452&amp;"-")-1)),"GD",""))&gt;0),"موجود","")</f>
        <v/>
      </c>
    </row>
    <row r="453" spans="1:16">
      <c r="A453" s="3">
        <v>452</v>
      </c>
      <c r="B453" s="3" t="s">
        <v>15</v>
      </c>
      <c r="C453" s="3" t="s">
        <v>484</v>
      </c>
      <c r="D453" s="3">
        <v>7.88</v>
      </c>
      <c r="E453" s="3">
        <v>750</v>
      </c>
      <c r="F453" s="3">
        <v>17</v>
      </c>
      <c r="G453" s="2"/>
      <c r="H453" s="3">
        <v>0</v>
      </c>
      <c r="I453" s="2"/>
      <c r="J453" s="3">
        <v>0</v>
      </c>
      <c r="K453" s="2"/>
      <c r="L453" s="3" t="s">
        <v>17</v>
      </c>
      <c r="M453" s="3" t="s">
        <v>18</v>
      </c>
      <c r="N453" s="2"/>
      <c r="O453" s="2"/>
      <c r="P453" s="3" t="str">
        <f>IF(OR(COUNTIF('ثبت لیبل'!$B$11:$B$1010,TRIM(LEFT(C453,FIND("-",C453&amp;"-")-1)))&gt;0,COUNTIF('ثبت لیبل'!$B$11:$B$1010,SUBSTITUTE(TRIM(LEFT(C453,FIND("-",C453&amp;"-")-1)),"GD",""))&gt;0),"موجود","")</f>
        <v/>
      </c>
    </row>
    <row r="454" spans="1:16">
      <c r="A454" s="3">
        <v>453</v>
      </c>
      <c r="B454" s="3" t="s">
        <v>15</v>
      </c>
      <c r="C454" s="3" t="s">
        <v>485</v>
      </c>
      <c r="D454" s="3">
        <v>3.67</v>
      </c>
      <c r="E454" s="3">
        <v>750</v>
      </c>
      <c r="F454" s="3">
        <v>17</v>
      </c>
      <c r="G454" s="2"/>
      <c r="H454" s="3">
        <v>0</v>
      </c>
      <c r="I454" s="2"/>
      <c r="J454" s="3">
        <v>0</v>
      </c>
      <c r="K454" s="2"/>
      <c r="L454" s="3" t="s">
        <v>17</v>
      </c>
      <c r="M454" s="3" t="s">
        <v>46</v>
      </c>
      <c r="N454" s="2"/>
      <c r="O454" s="2"/>
      <c r="P454" s="3" t="str">
        <f>IF(OR(COUNTIF('ثبت لیبل'!$B$11:$B$1010,TRIM(LEFT(C454,FIND("-",C454&amp;"-")-1)))&gt;0,COUNTIF('ثبت لیبل'!$B$11:$B$1010,SUBSTITUTE(TRIM(LEFT(C454,FIND("-",C454&amp;"-")-1)),"GD",""))&gt;0),"موجود","")</f>
        <v/>
      </c>
    </row>
    <row r="455" spans="1:16">
      <c r="A455" s="3">
        <v>454</v>
      </c>
      <c r="B455" s="3" t="s">
        <v>15</v>
      </c>
      <c r="C455" s="3" t="s">
        <v>486</v>
      </c>
      <c r="D455" s="3">
        <v>1.38</v>
      </c>
      <c r="E455" s="3">
        <v>750</v>
      </c>
      <c r="F455" s="3">
        <v>20</v>
      </c>
      <c r="G455" s="3">
        <v>26</v>
      </c>
      <c r="H455" s="3">
        <v>0</v>
      </c>
      <c r="I455" s="3">
        <v>0</v>
      </c>
      <c r="J455" s="3">
        <v>0</v>
      </c>
      <c r="K455" s="3">
        <v>0</v>
      </c>
      <c r="L455" s="3" t="s">
        <v>20</v>
      </c>
      <c r="M455" s="3" t="s">
        <v>46</v>
      </c>
      <c r="N455" s="2"/>
      <c r="O455" s="2"/>
      <c r="P455" s="3" t="str">
        <f>IF(OR(COUNTIF('ثبت لیبل'!$B$11:$B$1010,TRIM(LEFT(C455,FIND("-",C455&amp;"-")-1)))&gt;0,COUNTIF('ثبت لیبل'!$B$11:$B$1010,SUBSTITUTE(TRIM(LEFT(C455,FIND("-",C455&amp;"-")-1)),"GD",""))&gt;0),"موجود","")</f>
        <v/>
      </c>
    </row>
    <row r="456" spans="1:16">
      <c r="A456" s="3">
        <v>455</v>
      </c>
      <c r="B456" s="3" t="s">
        <v>15</v>
      </c>
      <c r="C456" s="3" t="s">
        <v>487</v>
      </c>
      <c r="D456" s="3">
        <v>1.77</v>
      </c>
      <c r="E456" s="3">
        <v>750</v>
      </c>
      <c r="F456" s="3">
        <v>15</v>
      </c>
      <c r="G456" s="3">
        <v>21</v>
      </c>
      <c r="H456" s="3">
        <v>0</v>
      </c>
      <c r="I456" s="3">
        <v>0</v>
      </c>
      <c r="J456" s="3">
        <v>0</v>
      </c>
      <c r="K456" s="3">
        <v>0</v>
      </c>
      <c r="L456" s="3" t="s">
        <v>17</v>
      </c>
      <c r="M456" s="3" t="s">
        <v>76</v>
      </c>
      <c r="N456" s="2"/>
      <c r="O456" s="2"/>
      <c r="P456" s="3" t="str">
        <f>IF(OR(COUNTIF('ثبت لیبل'!$B$11:$B$1010,TRIM(LEFT(C456,FIND("-",C456&amp;"-")-1)))&gt;0,COUNTIF('ثبت لیبل'!$B$11:$B$1010,SUBSTITUTE(TRIM(LEFT(C456,FIND("-",C456&amp;"-")-1)),"GD",""))&gt;0),"موجود","")</f>
        <v/>
      </c>
    </row>
    <row r="457" spans="1:16">
      <c r="A457" s="3">
        <v>456</v>
      </c>
      <c r="B457" s="3" t="s">
        <v>15</v>
      </c>
      <c r="C457" s="3" t="s">
        <v>488</v>
      </c>
      <c r="D457" s="3">
        <v>2.06</v>
      </c>
      <c r="E457" s="3">
        <v>750</v>
      </c>
      <c r="F457" s="3">
        <v>15</v>
      </c>
      <c r="G457" s="3">
        <v>21</v>
      </c>
      <c r="H457" s="3">
        <v>0</v>
      </c>
      <c r="I457" s="3">
        <v>0</v>
      </c>
      <c r="J457" s="3">
        <v>0</v>
      </c>
      <c r="K457" s="3">
        <v>0</v>
      </c>
      <c r="L457" s="3" t="s">
        <v>17</v>
      </c>
      <c r="M457" s="3" t="s">
        <v>60</v>
      </c>
      <c r="N457" s="2"/>
      <c r="O457" s="2"/>
      <c r="P457" s="3" t="str">
        <f>IF(OR(COUNTIF('ثبت لیبل'!$B$11:$B$1010,TRIM(LEFT(C457,FIND("-",C457&amp;"-")-1)))&gt;0,COUNTIF('ثبت لیبل'!$B$11:$B$1010,SUBSTITUTE(TRIM(LEFT(C457,FIND("-",C457&amp;"-")-1)),"GD",""))&gt;0),"موجود","")</f>
        <v/>
      </c>
    </row>
    <row r="458" spans="1:16">
      <c r="A458" s="3">
        <v>457</v>
      </c>
      <c r="B458" s="3" t="s">
        <v>15</v>
      </c>
      <c r="C458" s="3" t="s">
        <v>489</v>
      </c>
      <c r="D458" s="3">
        <v>1.94</v>
      </c>
      <c r="E458" s="3">
        <v>750</v>
      </c>
      <c r="F458" s="3">
        <v>12</v>
      </c>
      <c r="G458" s="3">
        <v>18</v>
      </c>
      <c r="H458" s="3">
        <v>0</v>
      </c>
      <c r="I458" s="3">
        <v>0</v>
      </c>
      <c r="J458" s="3">
        <v>0</v>
      </c>
      <c r="K458" s="3">
        <v>0</v>
      </c>
      <c r="L458" s="3" t="s">
        <v>17</v>
      </c>
      <c r="M458" s="3" t="s">
        <v>76</v>
      </c>
      <c r="N458" s="2"/>
      <c r="O458" s="2"/>
      <c r="P458" s="3" t="str">
        <f>IF(OR(COUNTIF('ثبت لیبل'!$B$11:$B$1010,TRIM(LEFT(C458,FIND("-",C458&amp;"-")-1)))&gt;0,COUNTIF('ثبت لیبل'!$B$11:$B$1010,SUBSTITUTE(TRIM(LEFT(C458,FIND("-",C458&amp;"-")-1)),"GD",""))&gt;0),"موجود","")</f>
        <v/>
      </c>
    </row>
    <row r="459" spans="1:16">
      <c r="A459" s="3">
        <v>458</v>
      </c>
      <c r="B459" s="3" t="s">
        <v>15</v>
      </c>
      <c r="C459" s="3" t="s">
        <v>490</v>
      </c>
      <c r="D459" s="3">
        <v>2.1800000000000002</v>
      </c>
      <c r="E459" s="3">
        <v>750</v>
      </c>
      <c r="F459" s="3">
        <v>12</v>
      </c>
      <c r="G459" s="3">
        <v>18</v>
      </c>
      <c r="H459" s="3">
        <v>0</v>
      </c>
      <c r="I459" s="3">
        <v>0</v>
      </c>
      <c r="J459" s="3">
        <v>0</v>
      </c>
      <c r="K459" s="3">
        <v>0</v>
      </c>
      <c r="L459" s="3" t="s">
        <v>17</v>
      </c>
      <c r="M459" s="3" t="s">
        <v>76</v>
      </c>
      <c r="N459" s="2"/>
      <c r="O459" s="2"/>
      <c r="P459" s="3" t="str">
        <f>IF(OR(COUNTIF('ثبت لیبل'!$B$11:$B$1010,TRIM(LEFT(C459,FIND("-",C459&amp;"-")-1)))&gt;0,COUNTIF('ثبت لیبل'!$B$11:$B$1010,SUBSTITUTE(TRIM(LEFT(C459,FIND("-",C459&amp;"-")-1)),"GD",""))&gt;0),"موجود","")</f>
        <v/>
      </c>
    </row>
    <row r="460" spans="1:16">
      <c r="A460" s="3">
        <v>459</v>
      </c>
      <c r="B460" s="3" t="s">
        <v>15</v>
      </c>
      <c r="C460" s="3" t="s">
        <v>491</v>
      </c>
      <c r="D460" s="3">
        <v>2.42</v>
      </c>
      <c r="E460" s="3">
        <v>750</v>
      </c>
      <c r="F460" s="3">
        <v>12</v>
      </c>
      <c r="G460" s="3">
        <v>18</v>
      </c>
      <c r="H460" s="3">
        <v>0</v>
      </c>
      <c r="I460" s="3">
        <v>0</v>
      </c>
      <c r="J460" s="3">
        <v>0</v>
      </c>
      <c r="K460" s="3">
        <v>0</v>
      </c>
      <c r="L460" s="3" t="s">
        <v>17</v>
      </c>
      <c r="M460" s="3" t="s">
        <v>76</v>
      </c>
      <c r="N460" s="2"/>
      <c r="O460" s="2"/>
      <c r="P460" s="3" t="str">
        <f>IF(OR(COUNTIF('ثبت لیبل'!$B$11:$B$1010,TRIM(LEFT(C460,FIND("-",C460&amp;"-")-1)))&gt;0,COUNTIF('ثبت لیبل'!$B$11:$B$1010,SUBSTITUTE(TRIM(LEFT(C460,FIND("-",C460&amp;"-")-1)),"GD",""))&gt;0),"موجود","")</f>
        <v/>
      </c>
    </row>
    <row r="461" spans="1:16">
      <c r="A461" s="3">
        <v>460</v>
      </c>
      <c r="B461" s="3" t="s">
        <v>492</v>
      </c>
      <c r="C461" s="3" t="s">
        <v>493</v>
      </c>
      <c r="D461" s="3">
        <v>0.51</v>
      </c>
      <c r="E461" s="3">
        <v>750</v>
      </c>
      <c r="F461" s="3">
        <v>17</v>
      </c>
      <c r="G461" s="3">
        <v>23</v>
      </c>
      <c r="H461" s="3">
        <v>0</v>
      </c>
      <c r="I461" s="3">
        <v>0</v>
      </c>
      <c r="J461" s="3">
        <v>0</v>
      </c>
      <c r="K461" s="3">
        <v>0</v>
      </c>
      <c r="L461" s="3" t="s">
        <v>17</v>
      </c>
      <c r="M461" s="3" t="s">
        <v>46</v>
      </c>
      <c r="N461" s="2"/>
      <c r="O461" s="2"/>
      <c r="P461" s="3" t="str">
        <f>IF(OR(COUNTIF('ثبت لیبل'!$B$11:$B$1010,TRIM(LEFT(C461,FIND("-",C461&amp;"-")-1)))&gt;0,COUNTIF('ثبت لیبل'!$B$11:$B$1010,SUBSTITUTE(TRIM(LEFT(C461,FIND("-",C461&amp;"-")-1)),"GD",""))&gt;0),"موجود","")</f>
        <v/>
      </c>
    </row>
    <row r="462" spans="1:16">
      <c r="A462" s="3">
        <v>461</v>
      </c>
      <c r="B462" s="3" t="s">
        <v>492</v>
      </c>
      <c r="C462" s="3" t="s">
        <v>494</v>
      </c>
      <c r="D462" s="3">
        <v>0.5</v>
      </c>
      <c r="E462" s="3">
        <v>750</v>
      </c>
      <c r="F462" s="3">
        <v>17</v>
      </c>
      <c r="G462" s="3">
        <v>23</v>
      </c>
      <c r="H462" s="3">
        <v>0</v>
      </c>
      <c r="I462" s="3">
        <v>0</v>
      </c>
      <c r="J462" s="3">
        <v>0</v>
      </c>
      <c r="K462" s="3">
        <v>0</v>
      </c>
      <c r="L462" s="3" t="s">
        <v>17</v>
      </c>
      <c r="M462" s="3" t="s">
        <v>46</v>
      </c>
      <c r="N462" s="2"/>
      <c r="O462" s="2"/>
      <c r="P462" s="3" t="str">
        <f>IF(OR(COUNTIF('ثبت لیبل'!$B$11:$B$1010,TRIM(LEFT(C462,FIND("-",C462&amp;"-")-1)))&gt;0,COUNTIF('ثبت لیبل'!$B$11:$B$1010,SUBSTITUTE(TRIM(LEFT(C462,FIND("-",C462&amp;"-")-1)),"GD",""))&gt;0),"موجود","")</f>
        <v/>
      </c>
    </row>
    <row r="463" spans="1:16">
      <c r="A463" s="3">
        <v>462</v>
      </c>
      <c r="B463" s="3" t="s">
        <v>15</v>
      </c>
      <c r="C463" s="3" t="s">
        <v>495</v>
      </c>
      <c r="D463" s="3">
        <v>0.43</v>
      </c>
      <c r="E463" s="3">
        <v>750</v>
      </c>
      <c r="F463" s="3">
        <v>12</v>
      </c>
      <c r="G463" s="3">
        <v>18</v>
      </c>
      <c r="H463" s="3">
        <v>0</v>
      </c>
      <c r="I463" s="3">
        <v>0</v>
      </c>
      <c r="J463" s="3">
        <v>0</v>
      </c>
      <c r="K463" s="3">
        <v>0</v>
      </c>
      <c r="L463" s="3" t="s">
        <v>17</v>
      </c>
      <c r="M463" s="3" t="s">
        <v>21</v>
      </c>
      <c r="N463" s="2"/>
      <c r="O463" s="2"/>
      <c r="P463" s="3" t="str">
        <f>IF(OR(COUNTIF('ثبت لیبل'!$B$11:$B$1010,TRIM(LEFT(C463,FIND("-",C463&amp;"-")-1)))&gt;0,COUNTIF('ثبت لیبل'!$B$11:$B$1010,SUBSTITUTE(TRIM(LEFT(C463,FIND("-",C463&amp;"-")-1)),"GD",""))&gt;0),"موجود","")</f>
        <v/>
      </c>
    </row>
    <row r="464" spans="1:16">
      <c r="A464" s="3">
        <v>463</v>
      </c>
      <c r="B464" s="3" t="s">
        <v>15</v>
      </c>
      <c r="C464" s="3" t="s">
        <v>496</v>
      </c>
      <c r="D464" s="3">
        <v>0.62</v>
      </c>
      <c r="E464" s="3">
        <v>750</v>
      </c>
      <c r="F464" s="3">
        <v>13</v>
      </c>
      <c r="G464" s="3">
        <v>19</v>
      </c>
      <c r="H464" s="3">
        <v>0</v>
      </c>
      <c r="I464" s="3">
        <v>0</v>
      </c>
      <c r="J464" s="3">
        <v>0</v>
      </c>
      <c r="K464" s="3">
        <v>0</v>
      </c>
      <c r="L464" s="3" t="s">
        <v>17</v>
      </c>
      <c r="M464" s="3" t="s">
        <v>21</v>
      </c>
      <c r="N464" s="2"/>
      <c r="O464" s="2"/>
      <c r="P464" s="3" t="str">
        <f>IF(OR(COUNTIF('ثبت لیبل'!$B$11:$B$1010,TRIM(LEFT(C464,FIND("-",C464&amp;"-")-1)))&gt;0,COUNTIF('ثبت لیبل'!$B$11:$B$1010,SUBSTITUTE(TRIM(LEFT(C464,FIND("-",C464&amp;"-")-1)),"GD",""))&gt;0),"موجود","")</f>
        <v/>
      </c>
    </row>
    <row r="465" spans="1:16">
      <c r="A465" s="3">
        <v>464</v>
      </c>
      <c r="B465" s="3" t="s">
        <v>15</v>
      </c>
      <c r="C465" s="3" t="s">
        <v>497</v>
      </c>
      <c r="D465" s="3">
        <v>0.84</v>
      </c>
      <c r="E465" s="3">
        <v>750</v>
      </c>
      <c r="F465" s="3">
        <v>13</v>
      </c>
      <c r="G465" s="3">
        <v>19</v>
      </c>
      <c r="H465" s="3">
        <v>0</v>
      </c>
      <c r="I465" s="3">
        <v>0</v>
      </c>
      <c r="J465" s="3">
        <v>0</v>
      </c>
      <c r="K465" s="3">
        <v>0</v>
      </c>
      <c r="L465" s="3" t="s">
        <v>63</v>
      </c>
      <c r="M465" s="3" t="s">
        <v>21</v>
      </c>
      <c r="N465" s="2"/>
      <c r="O465" s="2"/>
      <c r="P465" s="3" t="str">
        <f>IF(OR(COUNTIF('ثبت لیبل'!$B$11:$B$1010,TRIM(LEFT(C465,FIND("-",C465&amp;"-")-1)))&gt;0,COUNTIF('ثبت لیبل'!$B$11:$B$1010,SUBSTITUTE(TRIM(LEFT(C465,FIND("-",C465&amp;"-")-1)),"GD",""))&gt;0),"موجود","")</f>
        <v/>
      </c>
    </row>
    <row r="466" spans="1:16">
      <c r="A466" s="3">
        <v>465</v>
      </c>
      <c r="B466" s="3" t="s">
        <v>15</v>
      </c>
      <c r="C466" s="3" t="s">
        <v>498</v>
      </c>
      <c r="D466" s="3">
        <v>1.1100000000000001</v>
      </c>
      <c r="E466" s="3">
        <v>750</v>
      </c>
      <c r="F466" s="3">
        <v>13</v>
      </c>
      <c r="G466" s="3">
        <v>19</v>
      </c>
      <c r="H466" s="3">
        <v>0</v>
      </c>
      <c r="I466" s="3">
        <v>0</v>
      </c>
      <c r="J466" s="3">
        <v>0</v>
      </c>
      <c r="K466" s="3">
        <v>0</v>
      </c>
      <c r="L466" s="3" t="s">
        <v>63</v>
      </c>
      <c r="M466" s="3" t="s">
        <v>21</v>
      </c>
      <c r="N466" s="2"/>
      <c r="O466" s="2"/>
      <c r="P466" s="3" t="str">
        <f>IF(OR(COUNTIF('ثبت لیبل'!$B$11:$B$1010,TRIM(LEFT(C466,FIND("-",C466&amp;"-")-1)))&gt;0,COUNTIF('ثبت لیبل'!$B$11:$B$1010,SUBSTITUTE(TRIM(LEFT(C466,FIND("-",C466&amp;"-")-1)),"GD",""))&gt;0),"موجود","")</f>
        <v/>
      </c>
    </row>
    <row r="467" spans="1:16">
      <c r="A467" s="3">
        <v>466</v>
      </c>
      <c r="B467" s="3" t="s">
        <v>15</v>
      </c>
      <c r="C467" s="3" t="s">
        <v>499</v>
      </c>
      <c r="D467" s="3">
        <v>0.41</v>
      </c>
      <c r="E467" s="3">
        <v>750</v>
      </c>
      <c r="F467" s="3">
        <v>12</v>
      </c>
      <c r="G467" s="3">
        <v>18</v>
      </c>
      <c r="H467" s="3">
        <v>0</v>
      </c>
      <c r="I467" s="3">
        <v>0</v>
      </c>
      <c r="J467" s="3">
        <v>0</v>
      </c>
      <c r="K467" s="3">
        <v>0</v>
      </c>
      <c r="L467" s="3" t="s">
        <v>17</v>
      </c>
      <c r="M467" s="3" t="s">
        <v>21</v>
      </c>
      <c r="N467" s="2"/>
      <c r="O467" s="2"/>
      <c r="P467" s="3" t="str">
        <f>IF(OR(COUNTIF('ثبت لیبل'!$B$11:$B$1010,TRIM(LEFT(C467,FIND("-",C467&amp;"-")-1)))&gt;0,COUNTIF('ثبت لیبل'!$B$11:$B$1010,SUBSTITUTE(TRIM(LEFT(C467,FIND("-",C467&amp;"-")-1)),"GD",""))&gt;0),"موجود","")</f>
        <v/>
      </c>
    </row>
    <row r="468" spans="1:16">
      <c r="A468" s="3">
        <v>467</v>
      </c>
      <c r="B468" s="3" t="s">
        <v>15</v>
      </c>
      <c r="C468" s="3" t="s">
        <v>500</v>
      </c>
      <c r="D468" s="3">
        <v>0.96</v>
      </c>
      <c r="E468" s="3">
        <v>750</v>
      </c>
      <c r="F468" s="3">
        <v>10</v>
      </c>
      <c r="G468" s="3">
        <v>16</v>
      </c>
      <c r="H468" s="3">
        <v>0</v>
      </c>
      <c r="I468" s="3">
        <v>0</v>
      </c>
      <c r="J468" s="3">
        <v>0</v>
      </c>
      <c r="K468" s="3">
        <v>0</v>
      </c>
      <c r="L468" s="3" t="s">
        <v>17</v>
      </c>
      <c r="M468" s="3" t="s">
        <v>21</v>
      </c>
      <c r="N468" s="2"/>
      <c r="O468" s="2"/>
      <c r="P468" s="3" t="str">
        <f>IF(OR(COUNTIF('ثبت لیبل'!$B$11:$B$1010,TRIM(LEFT(C468,FIND("-",C468&amp;"-")-1)))&gt;0,COUNTIF('ثبت لیبل'!$B$11:$B$1010,SUBSTITUTE(TRIM(LEFT(C468,FIND("-",C468&amp;"-")-1)),"GD",""))&gt;0),"موجود","")</f>
        <v/>
      </c>
    </row>
    <row r="469" spans="1:16">
      <c r="A469" s="3">
        <v>468</v>
      </c>
      <c r="B469" s="3" t="s">
        <v>492</v>
      </c>
      <c r="C469" s="3" t="s">
        <v>501</v>
      </c>
      <c r="D469" s="3">
        <v>0.37</v>
      </c>
      <c r="E469" s="3">
        <v>750</v>
      </c>
      <c r="F469" s="3">
        <v>11</v>
      </c>
      <c r="G469" s="3">
        <v>17</v>
      </c>
      <c r="H469" s="3">
        <v>0</v>
      </c>
      <c r="I469" s="3">
        <v>0</v>
      </c>
      <c r="J469" s="3">
        <v>0</v>
      </c>
      <c r="K469" s="3">
        <v>0</v>
      </c>
      <c r="L469" s="2"/>
      <c r="M469" s="2"/>
      <c r="N469" s="2"/>
      <c r="O469" s="2"/>
      <c r="P469" s="3" t="str">
        <f>IF(OR(COUNTIF('ثبت لیبل'!$B$11:$B$1010,TRIM(LEFT(C469,FIND("-",C469&amp;"-")-1)))&gt;0,COUNTIF('ثبت لیبل'!$B$11:$B$1010,SUBSTITUTE(TRIM(LEFT(C469,FIND("-",C469&amp;"-")-1)),"GD",""))&gt;0),"موجود","")</f>
        <v/>
      </c>
    </row>
    <row r="470" spans="1:16">
      <c r="A470" s="3">
        <v>469</v>
      </c>
      <c r="B470" s="3" t="s">
        <v>15</v>
      </c>
      <c r="C470" s="3" t="s">
        <v>502</v>
      </c>
      <c r="D470" s="3">
        <v>0.93</v>
      </c>
      <c r="E470" s="3">
        <v>750</v>
      </c>
      <c r="F470" s="3">
        <v>11</v>
      </c>
      <c r="G470" s="3">
        <v>17</v>
      </c>
      <c r="H470" s="3">
        <v>0</v>
      </c>
      <c r="I470" s="3">
        <v>0</v>
      </c>
      <c r="J470" s="3">
        <v>0</v>
      </c>
      <c r="K470" s="3">
        <v>0</v>
      </c>
      <c r="L470" s="3" t="s">
        <v>17</v>
      </c>
      <c r="M470" s="3" t="s">
        <v>76</v>
      </c>
      <c r="N470" s="2"/>
      <c r="O470" s="2"/>
      <c r="P470" s="3" t="str">
        <f>IF(OR(COUNTIF('ثبت لیبل'!$B$11:$B$1010,TRIM(LEFT(C470,FIND("-",C470&amp;"-")-1)))&gt;0,COUNTIF('ثبت لیبل'!$B$11:$B$1010,SUBSTITUTE(TRIM(LEFT(C470,FIND("-",C470&amp;"-")-1)),"GD",""))&gt;0),"موجود","")</f>
        <v/>
      </c>
    </row>
    <row r="471" spans="1:16">
      <c r="A471" s="3">
        <v>470</v>
      </c>
      <c r="B471" s="3" t="s">
        <v>15</v>
      </c>
      <c r="C471" s="3" t="s">
        <v>503</v>
      </c>
      <c r="D471" s="3">
        <v>0.88</v>
      </c>
      <c r="E471" s="3">
        <v>750</v>
      </c>
      <c r="F471" s="3">
        <v>11</v>
      </c>
      <c r="G471" s="3">
        <v>17</v>
      </c>
      <c r="H471" s="3">
        <v>0</v>
      </c>
      <c r="I471" s="3">
        <v>0</v>
      </c>
      <c r="J471" s="3">
        <v>0</v>
      </c>
      <c r="K471" s="3">
        <v>0</v>
      </c>
      <c r="L471" s="3" t="s">
        <v>17</v>
      </c>
      <c r="M471" s="3" t="s">
        <v>76</v>
      </c>
      <c r="N471" s="2"/>
      <c r="O471" s="2"/>
      <c r="P471" s="3" t="str">
        <f>IF(OR(COUNTIF('ثبت لیبل'!$B$11:$B$1010,TRIM(LEFT(C471,FIND("-",C471&amp;"-")-1)))&gt;0,COUNTIF('ثبت لیبل'!$B$11:$B$1010,SUBSTITUTE(TRIM(LEFT(C471,FIND("-",C471&amp;"-")-1)),"GD",""))&gt;0),"موجود","")</f>
        <v/>
      </c>
    </row>
    <row r="472" spans="1:16">
      <c r="A472" s="3">
        <v>471</v>
      </c>
      <c r="B472" s="3" t="s">
        <v>15</v>
      </c>
      <c r="C472" s="3" t="s">
        <v>504</v>
      </c>
      <c r="D472" s="3">
        <v>0.95</v>
      </c>
      <c r="E472" s="3">
        <v>750</v>
      </c>
      <c r="F472" s="3">
        <v>10</v>
      </c>
      <c r="G472" s="3">
        <v>16</v>
      </c>
      <c r="H472" s="3">
        <v>0</v>
      </c>
      <c r="I472" s="3">
        <v>0</v>
      </c>
      <c r="J472" s="3">
        <v>0</v>
      </c>
      <c r="K472" s="3">
        <v>0</v>
      </c>
      <c r="L472" s="3" t="s">
        <v>17</v>
      </c>
      <c r="M472" s="3" t="s">
        <v>76</v>
      </c>
      <c r="N472" s="2"/>
      <c r="O472" s="2"/>
      <c r="P472" s="3" t="str">
        <f>IF(OR(COUNTIF('ثبت لیبل'!$B$11:$B$1010,TRIM(LEFT(C472,FIND("-",C472&amp;"-")-1)))&gt;0,COUNTIF('ثبت لیبل'!$B$11:$B$1010,SUBSTITUTE(TRIM(LEFT(C472,FIND("-",C472&amp;"-")-1)),"GD",""))&gt;0),"موجود","")</f>
        <v/>
      </c>
    </row>
    <row r="473" spans="1:16">
      <c r="A473" s="3">
        <v>472</v>
      </c>
      <c r="B473" s="3" t="s">
        <v>15</v>
      </c>
      <c r="C473" s="3" t="s">
        <v>505</v>
      </c>
      <c r="D473" s="3">
        <v>1.64</v>
      </c>
      <c r="E473" s="3">
        <v>750</v>
      </c>
      <c r="F473" s="3">
        <v>10</v>
      </c>
      <c r="G473" s="3">
        <v>16</v>
      </c>
      <c r="H473" s="3">
        <v>0</v>
      </c>
      <c r="I473" s="3">
        <v>0</v>
      </c>
      <c r="J473" s="3">
        <v>0</v>
      </c>
      <c r="K473" s="3">
        <v>0</v>
      </c>
      <c r="L473" s="3" t="s">
        <v>20</v>
      </c>
      <c r="M473" s="3" t="s">
        <v>76</v>
      </c>
      <c r="N473" s="2"/>
      <c r="O473" s="2"/>
      <c r="P473" s="3" t="str">
        <f>IF(OR(COUNTIF('ثبت لیبل'!$B$11:$B$1010,TRIM(LEFT(C473,FIND("-",C473&amp;"-")-1)))&gt;0,COUNTIF('ثبت لیبل'!$B$11:$B$1010,SUBSTITUTE(TRIM(LEFT(C473,FIND("-",C473&amp;"-")-1)),"GD",""))&gt;0),"موجود","")</f>
        <v/>
      </c>
    </row>
    <row r="474" spans="1:16">
      <c r="A474" s="3">
        <v>473</v>
      </c>
      <c r="B474" s="3" t="s">
        <v>15</v>
      </c>
      <c r="C474" s="3" t="s">
        <v>506</v>
      </c>
      <c r="D474" s="3">
        <v>1.35</v>
      </c>
      <c r="E474" s="3">
        <v>750</v>
      </c>
      <c r="F474" s="3">
        <v>10</v>
      </c>
      <c r="G474" s="3">
        <v>16</v>
      </c>
      <c r="H474" s="3">
        <v>0</v>
      </c>
      <c r="I474" s="3">
        <v>0</v>
      </c>
      <c r="J474" s="3">
        <v>0</v>
      </c>
      <c r="K474" s="3">
        <v>0</v>
      </c>
      <c r="L474" s="3" t="s">
        <v>17</v>
      </c>
      <c r="M474" s="3" t="s">
        <v>76</v>
      </c>
      <c r="N474" s="2"/>
      <c r="O474" s="2"/>
      <c r="P474" s="3" t="str">
        <f>IF(OR(COUNTIF('ثبت لیبل'!$B$11:$B$1010,TRIM(LEFT(C474,FIND("-",C474&amp;"-")-1)))&gt;0,COUNTIF('ثبت لیبل'!$B$11:$B$1010,SUBSTITUTE(TRIM(LEFT(C474,FIND("-",C474&amp;"-")-1)),"GD",""))&gt;0),"موجود","")</f>
        <v/>
      </c>
    </row>
    <row r="475" spans="1:16">
      <c r="A475" s="3">
        <v>474</v>
      </c>
      <c r="B475" s="3" t="s">
        <v>15</v>
      </c>
      <c r="C475" s="3" t="s">
        <v>507</v>
      </c>
      <c r="D475" s="3">
        <v>0.92</v>
      </c>
      <c r="E475" s="3">
        <v>750</v>
      </c>
      <c r="F475" s="3">
        <v>12</v>
      </c>
      <c r="G475" s="3">
        <v>18</v>
      </c>
      <c r="H475" s="3">
        <v>0</v>
      </c>
      <c r="I475" s="3">
        <v>0</v>
      </c>
      <c r="J475" s="3">
        <v>0</v>
      </c>
      <c r="K475" s="3">
        <v>0</v>
      </c>
      <c r="L475" s="3" t="s">
        <v>17</v>
      </c>
      <c r="M475" s="3" t="s">
        <v>60</v>
      </c>
      <c r="N475" s="2"/>
      <c r="O475" s="2"/>
      <c r="P475" s="3" t="str">
        <f>IF(OR(COUNTIF('ثبت لیبل'!$B$11:$B$1010,TRIM(LEFT(C475,FIND("-",C475&amp;"-")-1)))&gt;0,COUNTIF('ثبت لیبل'!$B$11:$B$1010,SUBSTITUTE(TRIM(LEFT(C475,FIND("-",C475&amp;"-")-1)),"GD",""))&gt;0),"موجود","")</f>
        <v/>
      </c>
    </row>
    <row r="476" spans="1:16">
      <c r="A476" s="3">
        <v>475</v>
      </c>
      <c r="B476" s="3" t="s">
        <v>15</v>
      </c>
      <c r="C476" s="3" t="s">
        <v>508</v>
      </c>
      <c r="D476" s="3">
        <v>1.1599999999999999</v>
      </c>
      <c r="E476" s="3">
        <v>750</v>
      </c>
      <c r="F476" s="3">
        <v>11</v>
      </c>
      <c r="G476" s="3">
        <v>17</v>
      </c>
      <c r="H476" s="3">
        <v>0</v>
      </c>
      <c r="I476" s="3">
        <v>0</v>
      </c>
      <c r="J476" s="3">
        <v>0</v>
      </c>
      <c r="K476" s="3">
        <v>0</v>
      </c>
      <c r="L476" s="3" t="s">
        <v>17</v>
      </c>
      <c r="M476" s="3" t="s">
        <v>76</v>
      </c>
      <c r="N476" s="2"/>
      <c r="O476" s="2"/>
      <c r="P476" s="3" t="str">
        <f>IF(OR(COUNTIF('ثبت لیبل'!$B$11:$B$1010,TRIM(LEFT(C476,FIND("-",C476&amp;"-")-1)))&gt;0,COUNTIF('ثبت لیبل'!$B$11:$B$1010,SUBSTITUTE(TRIM(LEFT(C476,FIND("-",C476&amp;"-")-1)),"GD",""))&gt;0),"موجود","")</f>
        <v/>
      </c>
    </row>
    <row r="477" spans="1:16">
      <c r="A477" s="3">
        <v>476</v>
      </c>
      <c r="B477" s="3" t="s">
        <v>15</v>
      </c>
      <c r="C477" s="3" t="s">
        <v>509</v>
      </c>
      <c r="D477" s="3">
        <v>1.01</v>
      </c>
      <c r="E477" s="3">
        <v>750</v>
      </c>
      <c r="F477" s="3">
        <v>10</v>
      </c>
      <c r="G477" s="3">
        <v>16</v>
      </c>
      <c r="H477" s="3">
        <v>0</v>
      </c>
      <c r="I477" s="3">
        <v>0</v>
      </c>
      <c r="J477" s="3">
        <v>0</v>
      </c>
      <c r="K477" s="3">
        <v>0</v>
      </c>
      <c r="L477" s="3" t="s">
        <v>20</v>
      </c>
      <c r="M477" s="3" t="s">
        <v>76</v>
      </c>
      <c r="N477" s="2"/>
      <c r="O477" s="2"/>
      <c r="P477" s="3" t="str">
        <f>IF(OR(COUNTIF('ثبت لیبل'!$B$11:$B$1010,TRIM(LEFT(C477,FIND("-",C477&amp;"-")-1)))&gt;0,COUNTIF('ثبت لیبل'!$B$11:$B$1010,SUBSTITUTE(TRIM(LEFT(C477,FIND("-",C477&amp;"-")-1)),"GD",""))&gt;0),"موجود","")</f>
        <v/>
      </c>
    </row>
    <row r="478" spans="1:16">
      <c r="A478" s="3">
        <v>477</v>
      </c>
      <c r="B478" s="3" t="s">
        <v>15</v>
      </c>
      <c r="C478" s="3" t="s">
        <v>510</v>
      </c>
      <c r="D478" s="3">
        <v>0.37</v>
      </c>
      <c r="E478" s="3">
        <v>750</v>
      </c>
      <c r="F478" s="3">
        <v>18</v>
      </c>
      <c r="G478" s="3">
        <v>24</v>
      </c>
      <c r="H478" s="3">
        <v>0</v>
      </c>
      <c r="I478" s="3">
        <v>0</v>
      </c>
      <c r="J478" s="3">
        <v>0</v>
      </c>
      <c r="K478" s="3">
        <v>0</v>
      </c>
      <c r="L478" s="3" t="s">
        <v>17</v>
      </c>
      <c r="M478" s="3" t="s">
        <v>46</v>
      </c>
      <c r="N478" s="2"/>
      <c r="O478" s="2"/>
      <c r="P478" s="3" t="str">
        <f>IF(OR(COUNTIF('ثبت لیبل'!$B$11:$B$1010,TRIM(LEFT(C478,FIND("-",C478&amp;"-")-1)))&gt;0,COUNTIF('ثبت لیبل'!$B$11:$B$1010,SUBSTITUTE(TRIM(LEFT(C478,FIND("-",C478&amp;"-")-1)),"GD",""))&gt;0),"موجود","")</f>
        <v/>
      </c>
    </row>
    <row r="479" spans="1:16">
      <c r="A479" s="3">
        <v>478</v>
      </c>
      <c r="B479" s="3" t="s">
        <v>15</v>
      </c>
      <c r="C479" s="3" t="s">
        <v>511</v>
      </c>
      <c r="D479" s="3">
        <v>0.51</v>
      </c>
      <c r="E479" s="3">
        <v>750</v>
      </c>
      <c r="F479" s="3">
        <v>17</v>
      </c>
      <c r="G479" s="3">
        <v>23</v>
      </c>
      <c r="H479" s="3">
        <v>0</v>
      </c>
      <c r="I479" s="3">
        <v>0</v>
      </c>
      <c r="J479" s="3">
        <v>0</v>
      </c>
      <c r="K479" s="3">
        <v>0</v>
      </c>
      <c r="L479" s="3" t="s">
        <v>17</v>
      </c>
      <c r="M479" s="3" t="s">
        <v>18</v>
      </c>
      <c r="N479" s="2"/>
      <c r="O479" s="2"/>
      <c r="P479" s="3" t="str">
        <f>IF(OR(COUNTIF('ثبت لیبل'!$B$11:$B$1010,TRIM(LEFT(C479,FIND("-",C479&amp;"-")-1)))&gt;0,COUNTIF('ثبت لیبل'!$B$11:$B$1010,SUBSTITUTE(TRIM(LEFT(C479,FIND("-",C479&amp;"-")-1)),"GD",""))&gt;0),"موجود","")</f>
        <v/>
      </c>
    </row>
    <row r="480" spans="1:16">
      <c r="A480" s="3">
        <v>479</v>
      </c>
      <c r="B480" s="3" t="s">
        <v>15</v>
      </c>
      <c r="C480" s="3" t="s">
        <v>512</v>
      </c>
      <c r="D480" s="3">
        <v>1.2</v>
      </c>
      <c r="E480" s="3">
        <v>750</v>
      </c>
      <c r="F480" s="3">
        <v>17</v>
      </c>
      <c r="G480" s="3">
        <v>23</v>
      </c>
      <c r="H480" s="3">
        <v>0</v>
      </c>
      <c r="I480" s="3">
        <v>0</v>
      </c>
      <c r="J480" s="3">
        <v>0</v>
      </c>
      <c r="K480" s="3">
        <v>0</v>
      </c>
      <c r="L480" s="3" t="s">
        <v>17</v>
      </c>
      <c r="M480" s="3" t="s">
        <v>46</v>
      </c>
      <c r="N480" s="2"/>
      <c r="O480" s="2"/>
      <c r="P480" s="3" t="str">
        <f>IF(OR(COUNTIF('ثبت لیبل'!$B$11:$B$1010,TRIM(LEFT(C480,FIND("-",C480&amp;"-")-1)))&gt;0,COUNTIF('ثبت لیبل'!$B$11:$B$1010,SUBSTITUTE(TRIM(LEFT(C480,FIND("-",C480&amp;"-")-1)),"GD",""))&gt;0),"موجود","")</f>
        <v/>
      </c>
    </row>
    <row r="481" spans="1:16">
      <c r="A481" s="3">
        <v>480</v>
      </c>
      <c r="B481" s="3" t="s">
        <v>15</v>
      </c>
      <c r="C481" s="3" t="s">
        <v>513</v>
      </c>
      <c r="D481" s="3">
        <v>0.52</v>
      </c>
      <c r="E481" s="3">
        <v>750</v>
      </c>
      <c r="F481" s="3">
        <v>18</v>
      </c>
      <c r="G481" s="3">
        <v>24</v>
      </c>
      <c r="H481" s="3">
        <v>0</v>
      </c>
      <c r="I481" s="3">
        <v>0</v>
      </c>
      <c r="J481" s="3">
        <v>0</v>
      </c>
      <c r="K481" s="3">
        <v>0</v>
      </c>
      <c r="L481" s="3" t="s">
        <v>17</v>
      </c>
      <c r="M481" s="3" t="s">
        <v>46</v>
      </c>
      <c r="N481" s="2"/>
      <c r="O481" s="2"/>
      <c r="P481" s="3" t="str">
        <f>IF(OR(COUNTIF('ثبت لیبل'!$B$11:$B$1010,TRIM(LEFT(C481,FIND("-",C481&amp;"-")-1)))&gt;0,COUNTIF('ثبت لیبل'!$B$11:$B$1010,SUBSTITUTE(TRIM(LEFT(C481,FIND("-",C481&amp;"-")-1)),"GD",""))&gt;0),"موجود","")</f>
        <v/>
      </c>
    </row>
    <row r="482" spans="1:16">
      <c r="A482" s="3">
        <v>481</v>
      </c>
      <c r="B482" s="3" t="s">
        <v>15</v>
      </c>
      <c r="C482" s="3" t="s">
        <v>514</v>
      </c>
      <c r="D482" s="3">
        <v>0.52</v>
      </c>
      <c r="E482" s="3">
        <v>750</v>
      </c>
      <c r="F482" s="3">
        <v>18</v>
      </c>
      <c r="G482" s="3">
        <v>24</v>
      </c>
      <c r="H482" s="3">
        <v>0</v>
      </c>
      <c r="I482" s="3">
        <v>0</v>
      </c>
      <c r="J482" s="3">
        <v>0</v>
      </c>
      <c r="K482" s="3">
        <v>0</v>
      </c>
      <c r="L482" s="3" t="s">
        <v>17</v>
      </c>
      <c r="M482" s="3" t="s">
        <v>46</v>
      </c>
      <c r="N482" s="2"/>
      <c r="O482" s="2"/>
      <c r="P482" s="3" t="str">
        <f>IF(OR(COUNTIF('ثبت لیبل'!$B$11:$B$1010,TRIM(LEFT(C482,FIND("-",C482&amp;"-")-1)))&gt;0,COUNTIF('ثبت لیبل'!$B$11:$B$1010,SUBSTITUTE(TRIM(LEFT(C482,FIND("-",C482&amp;"-")-1)),"GD",""))&gt;0),"موجود","")</f>
        <v/>
      </c>
    </row>
    <row r="483" spans="1:16">
      <c r="A483" s="3">
        <v>482</v>
      </c>
      <c r="B483" s="3" t="s">
        <v>15</v>
      </c>
      <c r="C483" s="3" t="s">
        <v>515</v>
      </c>
      <c r="D483" s="3">
        <v>4.9000000000000004</v>
      </c>
      <c r="E483" s="3">
        <v>750</v>
      </c>
      <c r="F483" s="3">
        <v>18</v>
      </c>
      <c r="G483" s="3">
        <v>24</v>
      </c>
      <c r="H483" s="3">
        <v>0</v>
      </c>
      <c r="I483" s="3">
        <v>0</v>
      </c>
      <c r="J483" s="3">
        <v>0</v>
      </c>
      <c r="K483" s="3">
        <v>0</v>
      </c>
      <c r="L483" s="3" t="s">
        <v>17</v>
      </c>
      <c r="M483" s="3" t="s">
        <v>46</v>
      </c>
      <c r="N483" s="2"/>
      <c r="O483" s="2"/>
      <c r="P483" s="3" t="str">
        <f>IF(OR(COUNTIF('ثبت لیبل'!$B$11:$B$1010,TRIM(LEFT(C483,FIND("-",C483&amp;"-")-1)))&gt;0,COUNTIF('ثبت لیبل'!$B$11:$B$1010,SUBSTITUTE(TRIM(LEFT(C483,FIND("-",C483&amp;"-")-1)),"GD",""))&gt;0),"موجود","")</f>
        <v/>
      </c>
    </row>
    <row r="484" spans="1:16">
      <c r="A484" s="3">
        <v>483</v>
      </c>
      <c r="B484" s="3" t="s">
        <v>15</v>
      </c>
      <c r="C484" s="3" t="s">
        <v>516</v>
      </c>
      <c r="D484" s="3">
        <v>1.87</v>
      </c>
      <c r="E484" s="3">
        <v>750</v>
      </c>
      <c r="F484" s="3">
        <v>18</v>
      </c>
      <c r="G484" s="3">
        <v>24</v>
      </c>
      <c r="H484" s="3">
        <v>0</v>
      </c>
      <c r="I484" s="3">
        <v>0</v>
      </c>
      <c r="J484" s="3">
        <v>0</v>
      </c>
      <c r="K484" s="3">
        <v>0</v>
      </c>
      <c r="L484" s="3" t="s">
        <v>17</v>
      </c>
      <c r="M484" s="3" t="s">
        <v>46</v>
      </c>
      <c r="N484" s="2"/>
      <c r="O484" s="2"/>
      <c r="P484" s="3" t="str">
        <f>IF(OR(COUNTIF('ثبت لیبل'!$B$11:$B$1010,TRIM(LEFT(C484,FIND("-",C484&amp;"-")-1)))&gt;0,COUNTIF('ثبت لیبل'!$B$11:$B$1010,SUBSTITUTE(TRIM(LEFT(C484,FIND("-",C484&amp;"-")-1)),"GD",""))&gt;0),"موجود","")</f>
        <v/>
      </c>
    </row>
    <row r="485" spans="1:16">
      <c r="A485" s="3">
        <v>484</v>
      </c>
      <c r="B485" s="3" t="s">
        <v>15</v>
      </c>
      <c r="C485" s="3" t="s">
        <v>517</v>
      </c>
      <c r="D485" s="3">
        <v>1.85</v>
      </c>
      <c r="E485" s="3">
        <v>750</v>
      </c>
      <c r="F485" s="3">
        <v>13</v>
      </c>
      <c r="G485" s="3">
        <v>19</v>
      </c>
      <c r="H485" s="3">
        <v>0</v>
      </c>
      <c r="I485" s="3">
        <v>0</v>
      </c>
      <c r="J485" s="3">
        <v>0</v>
      </c>
      <c r="K485" s="3">
        <v>0</v>
      </c>
      <c r="L485" s="3" t="s">
        <v>170</v>
      </c>
      <c r="M485" s="3" t="s">
        <v>354</v>
      </c>
      <c r="N485" s="2"/>
      <c r="O485" s="2"/>
      <c r="P485" s="3" t="str">
        <f>IF(OR(COUNTIF('ثبت لیبل'!$B$11:$B$1010,TRIM(LEFT(C485,FIND("-",C485&amp;"-")-1)))&gt;0,COUNTIF('ثبت لیبل'!$B$11:$B$1010,SUBSTITUTE(TRIM(LEFT(C485,FIND("-",C485&amp;"-")-1)),"GD",""))&gt;0),"موجود","")</f>
        <v/>
      </c>
    </row>
    <row r="486" spans="1:16">
      <c r="A486" s="3">
        <v>485</v>
      </c>
      <c r="B486" s="3" t="s">
        <v>15</v>
      </c>
      <c r="C486" s="3" t="s">
        <v>518</v>
      </c>
      <c r="D486" s="3">
        <v>1.9</v>
      </c>
      <c r="E486" s="3">
        <v>750</v>
      </c>
      <c r="F486" s="3">
        <v>13</v>
      </c>
      <c r="G486" s="3">
        <v>19</v>
      </c>
      <c r="H486" s="3">
        <v>0</v>
      </c>
      <c r="I486" s="3">
        <v>0</v>
      </c>
      <c r="J486" s="3">
        <v>0</v>
      </c>
      <c r="K486" s="3">
        <v>0</v>
      </c>
      <c r="L486" s="3" t="s">
        <v>170</v>
      </c>
      <c r="M486" s="3" t="s">
        <v>354</v>
      </c>
      <c r="N486" s="2"/>
      <c r="O486" s="2"/>
      <c r="P486" s="3" t="str">
        <f>IF(OR(COUNTIF('ثبت لیبل'!$B$11:$B$1010,TRIM(LEFT(C486,FIND("-",C486&amp;"-")-1)))&gt;0,COUNTIF('ثبت لیبل'!$B$11:$B$1010,SUBSTITUTE(TRIM(LEFT(C486,FIND("-",C486&amp;"-")-1)),"GD",""))&gt;0),"موجود","")</f>
        <v/>
      </c>
    </row>
    <row r="487" spans="1:16">
      <c r="A487" s="3">
        <v>486</v>
      </c>
      <c r="B487" s="3" t="s">
        <v>15</v>
      </c>
      <c r="C487" s="3" t="s">
        <v>519</v>
      </c>
      <c r="D487" s="3">
        <v>2.93</v>
      </c>
      <c r="E487" s="3">
        <v>750</v>
      </c>
      <c r="F487" s="3">
        <v>13</v>
      </c>
      <c r="G487" s="3">
        <v>19</v>
      </c>
      <c r="H487" s="3">
        <v>0</v>
      </c>
      <c r="I487" s="3">
        <v>0</v>
      </c>
      <c r="J487" s="3">
        <v>0</v>
      </c>
      <c r="K487" s="3">
        <v>0</v>
      </c>
      <c r="L487" s="3" t="s">
        <v>170</v>
      </c>
      <c r="M487" s="3" t="s">
        <v>76</v>
      </c>
      <c r="N487" s="2"/>
      <c r="O487" s="2"/>
      <c r="P487" s="3" t="str">
        <f>IF(OR(COUNTIF('ثبت لیبل'!$B$11:$B$1010,TRIM(LEFT(C487,FIND("-",C487&amp;"-")-1)))&gt;0,COUNTIF('ثبت لیبل'!$B$11:$B$1010,SUBSTITUTE(TRIM(LEFT(C487,FIND("-",C487&amp;"-")-1)),"GD",""))&gt;0),"موجود","")</f>
        <v/>
      </c>
    </row>
    <row r="488" spans="1:16">
      <c r="A488" s="3">
        <v>487</v>
      </c>
      <c r="B488" s="3" t="s">
        <v>15</v>
      </c>
      <c r="C488" s="3" t="s">
        <v>520</v>
      </c>
      <c r="D488" s="3">
        <v>0.97</v>
      </c>
      <c r="E488" s="3">
        <v>750</v>
      </c>
      <c r="F488" s="3">
        <v>19</v>
      </c>
      <c r="G488" s="2"/>
      <c r="H488" s="3">
        <v>0</v>
      </c>
      <c r="I488" s="2"/>
      <c r="J488" s="3">
        <v>0</v>
      </c>
      <c r="K488" s="2"/>
      <c r="L488" s="3" t="s">
        <v>20</v>
      </c>
      <c r="M488" s="3" t="s">
        <v>21</v>
      </c>
      <c r="N488" s="2"/>
      <c r="O488" s="2"/>
      <c r="P488" s="3" t="str">
        <f>IF(OR(COUNTIF('ثبت لیبل'!$B$11:$B$1010,TRIM(LEFT(C488,FIND("-",C488&amp;"-")-1)))&gt;0,COUNTIF('ثبت لیبل'!$B$11:$B$1010,SUBSTITUTE(TRIM(LEFT(C488,FIND("-",C488&amp;"-")-1)),"GD",""))&gt;0),"موجود","")</f>
        <v/>
      </c>
    </row>
    <row r="489" spans="1:16">
      <c r="A489" s="3">
        <v>488</v>
      </c>
      <c r="B489" s="3" t="s">
        <v>15</v>
      </c>
      <c r="C489" s="3" t="s">
        <v>521</v>
      </c>
      <c r="D489" s="3">
        <v>1.68</v>
      </c>
      <c r="E489" s="3">
        <v>750</v>
      </c>
      <c r="F489" s="3">
        <v>12</v>
      </c>
      <c r="G489" s="3">
        <v>18</v>
      </c>
      <c r="H489" s="3">
        <v>0</v>
      </c>
      <c r="I489" s="3">
        <v>0</v>
      </c>
      <c r="J489" s="3">
        <v>0</v>
      </c>
      <c r="K489" s="3">
        <v>0</v>
      </c>
      <c r="L489" s="3" t="s">
        <v>17</v>
      </c>
      <c r="M489" s="3" t="s">
        <v>60</v>
      </c>
      <c r="N489" s="2"/>
      <c r="O489" s="2"/>
      <c r="P489" s="3" t="str">
        <f>IF(OR(COUNTIF('ثبت لیبل'!$B$11:$B$1010,TRIM(LEFT(C489,FIND("-",C489&amp;"-")-1)))&gt;0,COUNTIF('ثبت لیبل'!$B$11:$B$1010,SUBSTITUTE(TRIM(LEFT(C489,FIND("-",C489&amp;"-")-1)),"GD",""))&gt;0),"موجود","")</f>
        <v/>
      </c>
    </row>
    <row r="490" spans="1:16">
      <c r="A490" s="3">
        <v>489</v>
      </c>
      <c r="B490" s="3" t="s">
        <v>492</v>
      </c>
      <c r="C490" s="3" t="s">
        <v>522</v>
      </c>
      <c r="D490" s="3">
        <v>0.43</v>
      </c>
      <c r="E490" s="3">
        <v>750</v>
      </c>
      <c r="F490" s="3">
        <v>4.5</v>
      </c>
      <c r="G490" s="3">
        <v>10.5</v>
      </c>
      <c r="H490" s="3">
        <v>0</v>
      </c>
      <c r="I490" s="3">
        <v>0</v>
      </c>
      <c r="J490" s="3">
        <v>0</v>
      </c>
      <c r="K490" s="3">
        <v>0</v>
      </c>
      <c r="L490" s="3" t="s">
        <v>17</v>
      </c>
      <c r="M490" s="3" t="s">
        <v>46</v>
      </c>
      <c r="N490" s="2"/>
      <c r="O490" s="2"/>
      <c r="P490" s="3" t="str">
        <f>IF(OR(COUNTIF('ثبت لیبل'!$B$11:$B$1010,TRIM(LEFT(C490,FIND("-",C490&amp;"-")-1)))&gt;0,COUNTIF('ثبت لیبل'!$B$11:$B$1010,SUBSTITUTE(TRIM(LEFT(C490,FIND("-",C490&amp;"-")-1)),"GD",""))&gt;0),"موجود","")</f>
        <v/>
      </c>
    </row>
    <row r="491" spans="1:16">
      <c r="A491" s="3">
        <v>490</v>
      </c>
      <c r="B491" s="3" t="s">
        <v>492</v>
      </c>
      <c r="C491" s="3" t="s">
        <v>523</v>
      </c>
      <c r="D491" s="3">
        <v>0.42</v>
      </c>
      <c r="E491" s="3">
        <v>750</v>
      </c>
      <c r="F491" s="3">
        <v>4.5</v>
      </c>
      <c r="G491" s="3">
        <v>10.5</v>
      </c>
      <c r="H491" s="3">
        <v>0</v>
      </c>
      <c r="I491" s="3">
        <v>0</v>
      </c>
      <c r="J491" s="3">
        <v>0</v>
      </c>
      <c r="K491" s="3">
        <v>0</v>
      </c>
      <c r="L491" s="3" t="s">
        <v>17</v>
      </c>
      <c r="M491" s="3" t="s">
        <v>46</v>
      </c>
      <c r="N491" s="2"/>
      <c r="O491" s="2"/>
      <c r="P491" s="3" t="str">
        <f>IF(OR(COUNTIF('ثبت لیبل'!$B$11:$B$1010,TRIM(LEFT(C491,FIND("-",C491&amp;"-")-1)))&gt;0,COUNTIF('ثبت لیبل'!$B$11:$B$1010,SUBSTITUTE(TRIM(LEFT(C491,FIND("-",C491&amp;"-")-1)),"GD",""))&gt;0),"موجود","")</f>
        <v/>
      </c>
    </row>
    <row r="492" spans="1:16">
      <c r="A492" s="3">
        <v>491</v>
      </c>
      <c r="B492" s="3" t="s">
        <v>492</v>
      </c>
      <c r="C492" s="3" t="s">
        <v>524</v>
      </c>
      <c r="D492" s="3">
        <v>0.43</v>
      </c>
      <c r="E492" s="3">
        <v>750</v>
      </c>
      <c r="F492" s="3">
        <v>4.5</v>
      </c>
      <c r="G492" s="3">
        <v>10.5</v>
      </c>
      <c r="H492" s="3">
        <v>0</v>
      </c>
      <c r="I492" s="3">
        <v>0</v>
      </c>
      <c r="J492" s="3">
        <v>0</v>
      </c>
      <c r="K492" s="3">
        <v>0</v>
      </c>
      <c r="L492" s="3" t="s">
        <v>17</v>
      </c>
      <c r="M492" s="3" t="s">
        <v>46</v>
      </c>
      <c r="N492" s="2"/>
      <c r="O492" s="2"/>
      <c r="P492" s="3" t="str">
        <f>IF(OR(COUNTIF('ثبت لیبل'!$B$11:$B$1010,TRIM(LEFT(C492,FIND("-",C492&amp;"-")-1)))&gt;0,COUNTIF('ثبت لیبل'!$B$11:$B$1010,SUBSTITUTE(TRIM(LEFT(C492,FIND("-",C492&amp;"-")-1)),"GD",""))&gt;0),"موجود","")</f>
        <v/>
      </c>
    </row>
    <row r="493" spans="1:16">
      <c r="A493" s="3">
        <v>492</v>
      </c>
      <c r="B493" s="3" t="s">
        <v>492</v>
      </c>
      <c r="C493" s="3" t="s">
        <v>525</v>
      </c>
      <c r="D493" s="3">
        <v>0.43</v>
      </c>
      <c r="E493" s="3">
        <v>750</v>
      </c>
      <c r="F493" s="3">
        <v>4.5</v>
      </c>
      <c r="G493" s="3">
        <v>10.5</v>
      </c>
      <c r="H493" s="3">
        <v>0</v>
      </c>
      <c r="I493" s="3">
        <v>0</v>
      </c>
      <c r="J493" s="3">
        <v>0</v>
      </c>
      <c r="K493" s="3">
        <v>0</v>
      </c>
      <c r="L493" s="3" t="s">
        <v>17</v>
      </c>
      <c r="M493" s="3" t="s">
        <v>46</v>
      </c>
      <c r="N493" s="2"/>
      <c r="O493" s="2"/>
      <c r="P493" s="3" t="str">
        <f>IF(OR(COUNTIF('ثبت لیبل'!$B$11:$B$1010,TRIM(LEFT(C493,FIND("-",C493&amp;"-")-1)))&gt;0,COUNTIF('ثبت لیبل'!$B$11:$B$1010,SUBSTITUTE(TRIM(LEFT(C493,FIND("-",C493&amp;"-")-1)),"GD",""))&gt;0),"موجود","")</f>
        <v/>
      </c>
    </row>
    <row r="494" spans="1:16">
      <c r="A494" s="3">
        <v>493</v>
      </c>
      <c r="B494" s="3" t="s">
        <v>492</v>
      </c>
      <c r="C494" s="3" t="s">
        <v>526</v>
      </c>
      <c r="D494" s="3">
        <v>0.44</v>
      </c>
      <c r="E494" s="3">
        <v>750</v>
      </c>
      <c r="F494" s="3">
        <v>4.5</v>
      </c>
      <c r="G494" s="3">
        <v>10.5</v>
      </c>
      <c r="H494" s="3">
        <v>0</v>
      </c>
      <c r="I494" s="3">
        <v>0</v>
      </c>
      <c r="J494" s="3">
        <v>0</v>
      </c>
      <c r="K494" s="3">
        <v>0</v>
      </c>
      <c r="L494" s="3" t="s">
        <v>17</v>
      </c>
      <c r="M494" s="3" t="s">
        <v>46</v>
      </c>
      <c r="N494" s="2"/>
      <c r="O494" s="2"/>
      <c r="P494" s="3" t="str">
        <f>IF(OR(COUNTIF('ثبت لیبل'!$B$11:$B$1010,TRIM(LEFT(C494,FIND("-",C494&amp;"-")-1)))&gt;0,COUNTIF('ثبت لیبل'!$B$11:$B$1010,SUBSTITUTE(TRIM(LEFT(C494,FIND("-",C494&amp;"-")-1)),"GD",""))&gt;0),"موجود","")</f>
        <v/>
      </c>
    </row>
    <row r="495" spans="1:16">
      <c r="A495" s="3">
        <v>494</v>
      </c>
      <c r="B495" s="3" t="s">
        <v>492</v>
      </c>
      <c r="C495" s="3" t="s">
        <v>527</v>
      </c>
      <c r="D495" s="3">
        <v>0.44</v>
      </c>
      <c r="E495" s="3">
        <v>750</v>
      </c>
      <c r="F495" s="3">
        <v>4.5</v>
      </c>
      <c r="G495" s="3">
        <v>10.5</v>
      </c>
      <c r="H495" s="3">
        <v>0</v>
      </c>
      <c r="I495" s="3">
        <v>0</v>
      </c>
      <c r="J495" s="3">
        <v>0</v>
      </c>
      <c r="K495" s="3">
        <v>0</v>
      </c>
      <c r="L495" s="3" t="s">
        <v>17</v>
      </c>
      <c r="M495" s="3" t="s">
        <v>46</v>
      </c>
      <c r="N495" s="2"/>
      <c r="O495" s="2"/>
      <c r="P495" s="3" t="str">
        <f>IF(OR(COUNTIF('ثبت لیبل'!$B$11:$B$1010,TRIM(LEFT(C495,FIND("-",C495&amp;"-")-1)))&gt;0,COUNTIF('ثبت لیبل'!$B$11:$B$1010,SUBSTITUTE(TRIM(LEFT(C495,FIND("-",C495&amp;"-")-1)),"GD",""))&gt;0),"موجود","")</f>
        <v/>
      </c>
    </row>
    <row r="496" spans="1:16">
      <c r="A496" s="3">
        <v>495</v>
      </c>
      <c r="B496" s="3" t="s">
        <v>492</v>
      </c>
      <c r="C496" s="3" t="s">
        <v>528</v>
      </c>
      <c r="D496" s="3">
        <v>0.43</v>
      </c>
      <c r="E496" s="3">
        <v>750</v>
      </c>
      <c r="F496" s="3">
        <v>4.5</v>
      </c>
      <c r="G496" s="3">
        <v>10.5</v>
      </c>
      <c r="H496" s="3">
        <v>0</v>
      </c>
      <c r="I496" s="3">
        <v>0</v>
      </c>
      <c r="J496" s="3">
        <v>0</v>
      </c>
      <c r="K496" s="3">
        <v>0</v>
      </c>
      <c r="L496" s="3" t="s">
        <v>17</v>
      </c>
      <c r="M496" s="3" t="s">
        <v>46</v>
      </c>
      <c r="N496" s="2"/>
      <c r="O496" s="2"/>
      <c r="P496" s="3" t="str">
        <f>IF(OR(COUNTIF('ثبت لیبل'!$B$11:$B$1010,TRIM(LEFT(C496,FIND("-",C496&amp;"-")-1)))&gt;0,COUNTIF('ثبت لیبل'!$B$11:$B$1010,SUBSTITUTE(TRIM(LEFT(C496,FIND("-",C496&amp;"-")-1)),"GD",""))&gt;0),"موجود","")</f>
        <v/>
      </c>
    </row>
    <row r="497" spans="1:16">
      <c r="A497" s="3">
        <v>496</v>
      </c>
      <c r="B497" s="3" t="s">
        <v>492</v>
      </c>
      <c r="C497" s="3" t="s">
        <v>529</v>
      </c>
      <c r="D497" s="3">
        <v>0.43</v>
      </c>
      <c r="E497" s="3">
        <v>750</v>
      </c>
      <c r="F497" s="3">
        <v>4.5</v>
      </c>
      <c r="G497" s="3">
        <v>10.5</v>
      </c>
      <c r="H497" s="3">
        <v>0</v>
      </c>
      <c r="I497" s="3">
        <v>0</v>
      </c>
      <c r="J497" s="3">
        <v>0</v>
      </c>
      <c r="K497" s="3">
        <v>0</v>
      </c>
      <c r="L497" s="3" t="s">
        <v>17</v>
      </c>
      <c r="M497" s="3" t="s">
        <v>46</v>
      </c>
      <c r="N497" s="2"/>
      <c r="O497" s="2"/>
      <c r="P497" s="3" t="str">
        <f>IF(OR(COUNTIF('ثبت لیبل'!$B$11:$B$1010,TRIM(LEFT(C497,FIND("-",C497&amp;"-")-1)))&gt;0,COUNTIF('ثبت لیبل'!$B$11:$B$1010,SUBSTITUTE(TRIM(LEFT(C497,FIND("-",C497&amp;"-")-1)),"GD",""))&gt;0),"موجود","")</f>
        <v/>
      </c>
    </row>
    <row r="498" spans="1:16">
      <c r="A498" s="3">
        <v>497</v>
      </c>
      <c r="B498" s="3" t="s">
        <v>492</v>
      </c>
      <c r="C498" s="3" t="s">
        <v>530</v>
      </c>
      <c r="D498" s="3">
        <v>0.43</v>
      </c>
      <c r="E498" s="3">
        <v>750</v>
      </c>
      <c r="F498" s="3">
        <v>4.5</v>
      </c>
      <c r="G498" s="3">
        <v>10.5</v>
      </c>
      <c r="H498" s="3">
        <v>0</v>
      </c>
      <c r="I498" s="3">
        <v>0</v>
      </c>
      <c r="J498" s="3">
        <v>0</v>
      </c>
      <c r="K498" s="3">
        <v>0</v>
      </c>
      <c r="L498" s="3" t="s">
        <v>17</v>
      </c>
      <c r="M498" s="3" t="s">
        <v>46</v>
      </c>
      <c r="N498" s="2"/>
      <c r="O498" s="2"/>
      <c r="P498" s="3" t="str">
        <f>IF(OR(COUNTIF('ثبت لیبل'!$B$11:$B$1010,TRIM(LEFT(C498,FIND("-",C498&amp;"-")-1)))&gt;0,COUNTIF('ثبت لیبل'!$B$11:$B$1010,SUBSTITUTE(TRIM(LEFT(C498,FIND("-",C498&amp;"-")-1)),"GD",""))&gt;0),"موجود","")</f>
        <v/>
      </c>
    </row>
    <row r="499" spans="1:16">
      <c r="A499" s="3">
        <v>498</v>
      </c>
      <c r="B499" s="3" t="s">
        <v>492</v>
      </c>
      <c r="C499" s="3" t="s">
        <v>531</v>
      </c>
      <c r="D499" s="3">
        <v>0.44</v>
      </c>
      <c r="E499" s="3">
        <v>750</v>
      </c>
      <c r="F499" s="3">
        <v>4.5</v>
      </c>
      <c r="G499" s="3">
        <v>10.5</v>
      </c>
      <c r="H499" s="3">
        <v>0</v>
      </c>
      <c r="I499" s="3">
        <v>0</v>
      </c>
      <c r="J499" s="3">
        <v>0</v>
      </c>
      <c r="K499" s="3">
        <v>0</v>
      </c>
      <c r="L499" s="3" t="s">
        <v>17</v>
      </c>
      <c r="M499" s="3" t="s">
        <v>46</v>
      </c>
      <c r="N499" s="2"/>
      <c r="O499" s="2"/>
      <c r="P499" s="3" t="str">
        <f>IF(OR(COUNTIF('ثبت لیبل'!$B$11:$B$1010,TRIM(LEFT(C499,FIND("-",C499&amp;"-")-1)))&gt;0,COUNTIF('ثبت لیبل'!$B$11:$B$1010,SUBSTITUTE(TRIM(LEFT(C499,FIND("-",C499&amp;"-")-1)),"GD",""))&gt;0),"موجود","")</f>
        <v/>
      </c>
    </row>
    <row r="500" spans="1:16">
      <c r="A500" s="3">
        <v>499</v>
      </c>
      <c r="B500" s="3" t="s">
        <v>492</v>
      </c>
      <c r="C500" s="3" t="s">
        <v>532</v>
      </c>
      <c r="D500" s="3">
        <v>0.44</v>
      </c>
      <c r="E500" s="3">
        <v>750</v>
      </c>
      <c r="F500" s="3">
        <v>4.5</v>
      </c>
      <c r="G500" s="3">
        <v>10.5</v>
      </c>
      <c r="H500" s="3">
        <v>0</v>
      </c>
      <c r="I500" s="3">
        <v>0</v>
      </c>
      <c r="J500" s="3">
        <v>0</v>
      </c>
      <c r="K500" s="3">
        <v>0</v>
      </c>
      <c r="L500" s="3" t="s">
        <v>17</v>
      </c>
      <c r="M500" s="3" t="s">
        <v>46</v>
      </c>
      <c r="N500" s="2"/>
      <c r="O500" s="2"/>
      <c r="P500" s="3" t="str">
        <f>IF(OR(COUNTIF('ثبت لیبل'!$B$11:$B$1010,TRIM(LEFT(C500,FIND("-",C500&amp;"-")-1)))&gt;0,COUNTIF('ثبت لیبل'!$B$11:$B$1010,SUBSTITUTE(TRIM(LEFT(C500,FIND("-",C500&amp;"-")-1)),"GD",""))&gt;0),"موجود","")</f>
        <v/>
      </c>
    </row>
    <row r="501" spans="1:16">
      <c r="A501" s="3">
        <v>500</v>
      </c>
      <c r="B501" s="3" t="s">
        <v>492</v>
      </c>
      <c r="C501" s="3" t="s">
        <v>533</v>
      </c>
      <c r="D501" s="3">
        <v>0.43</v>
      </c>
      <c r="E501" s="3">
        <v>750</v>
      </c>
      <c r="F501" s="3">
        <v>4.5</v>
      </c>
      <c r="G501" s="3">
        <v>10.5</v>
      </c>
      <c r="H501" s="3">
        <v>0</v>
      </c>
      <c r="I501" s="3">
        <v>0</v>
      </c>
      <c r="J501" s="3">
        <v>0</v>
      </c>
      <c r="K501" s="3">
        <v>0</v>
      </c>
      <c r="L501" s="3" t="s">
        <v>17</v>
      </c>
      <c r="M501" s="3" t="s">
        <v>46</v>
      </c>
      <c r="N501" s="2"/>
      <c r="O501" s="2"/>
      <c r="P501" s="3" t="str">
        <f>IF(OR(COUNTIF('ثبت لیبل'!$B$11:$B$1010,TRIM(LEFT(C501,FIND("-",C501&amp;"-")-1)))&gt;0,COUNTIF('ثبت لیبل'!$B$11:$B$1010,SUBSTITUTE(TRIM(LEFT(C501,FIND("-",C501&amp;"-")-1)),"GD",""))&gt;0),"موجود","")</f>
        <v/>
      </c>
    </row>
    <row r="502" spans="1:16">
      <c r="A502" s="3">
        <v>501</v>
      </c>
      <c r="B502" s="3" t="s">
        <v>492</v>
      </c>
      <c r="C502" s="3" t="s">
        <v>534</v>
      </c>
      <c r="D502" s="3">
        <v>0.43</v>
      </c>
      <c r="E502" s="3">
        <v>750</v>
      </c>
      <c r="F502" s="3">
        <v>4.5</v>
      </c>
      <c r="G502" s="3">
        <v>10.5</v>
      </c>
      <c r="H502" s="3">
        <v>0</v>
      </c>
      <c r="I502" s="3">
        <v>0</v>
      </c>
      <c r="J502" s="3">
        <v>0</v>
      </c>
      <c r="K502" s="3">
        <v>0</v>
      </c>
      <c r="L502" s="3" t="s">
        <v>17</v>
      </c>
      <c r="M502" s="3" t="s">
        <v>46</v>
      </c>
      <c r="N502" s="2"/>
      <c r="O502" s="2"/>
      <c r="P502" s="3" t="str">
        <f>IF(OR(COUNTIF('ثبت لیبل'!$B$11:$B$1010,TRIM(LEFT(C502,FIND("-",C502&amp;"-")-1)))&gt;0,COUNTIF('ثبت لیبل'!$B$11:$B$1010,SUBSTITUTE(TRIM(LEFT(C502,FIND("-",C502&amp;"-")-1)),"GD",""))&gt;0),"موجود","")</f>
        <v/>
      </c>
    </row>
    <row r="503" spans="1:16">
      <c r="A503" s="3">
        <v>502</v>
      </c>
      <c r="B503" s="3" t="s">
        <v>492</v>
      </c>
      <c r="C503" s="3" t="s">
        <v>535</v>
      </c>
      <c r="D503" s="3">
        <v>0.44</v>
      </c>
      <c r="E503" s="3">
        <v>750</v>
      </c>
      <c r="F503" s="3">
        <v>4.5</v>
      </c>
      <c r="G503" s="3">
        <v>10.5</v>
      </c>
      <c r="H503" s="3">
        <v>0</v>
      </c>
      <c r="I503" s="3">
        <v>0</v>
      </c>
      <c r="J503" s="3">
        <v>0</v>
      </c>
      <c r="K503" s="3">
        <v>0</v>
      </c>
      <c r="L503" s="3" t="s">
        <v>17</v>
      </c>
      <c r="M503" s="3" t="s">
        <v>46</v>
      </c>
      <c r="N503" s="2"/>
      <c r="O503" s="2"/>
      <c r="P503" s="3" t="str">
        <f>IF(OR(COUNTIF('ثبت لیبل'!$B$11:$B$1010,TRIM(LEFT(C503,FIND("-",C503&amp;"-")-1)))&gt;0,COUNTIF('ثبت لیبل'!$B$11:$B$1010,SUBSTITUTE(TRIM(LEFT(C503,FIND("-",C503&amp;"-")-1)),"GD",""))&gt;0),"موجود","")</f>
        <v/>
      </c>
    </row>
    <row r="504" spans="1:16">
      <c r="A504" s="3">
        <v>503</v>
      </c>
      <c r="B504" s="3" t="s">
        <v>492</v>
      </c>
      <c r="C504" s="3" t="s">
        <v>536</v>
      </c>
      <c r="D504" s="3">
        <v>0.44</v>
      </c>
      <c r="E504" s="3">
        <v>750</v>
      </c>
      <c r="F504" s="3">
        <v>4.5</v>
      </c>
      <c r="G504" s="3">
        <v>10.5</v>
      </c>
      <c r="H504" s="3">
        <v>0</v>
      </c>
      <c r="I504" s="3">
        <v>0</v>
      </c>
      <c r="J504" s="3">
        <v>0</v>
      </c>
      <c r="K504" s="3">
        <v>0</v>
      </c>
      <c r="L504" s="3" t="s">
        <v>17</v>
      </c>
      <c r="M504" s="3" t="s">
        <v>46</v>
      </c>
      <c r="N504" s="2"/>
      <c r="O504" s="2"/>
      <c r="P504" s="3" t="str">
        <f>IF(OR(COUNTIF('ثبت لیبل'!$B$11:$B$1010,TRIM(LEFT(C504,FIND("-",C504&amp;"-")-1)))&gt;0,COUNTIF('ثبت لیبل'!$B$11:$B$1010,SUBSTITUTE(TRIM(LEFT(C504,FIND("-",C504&amp;"-")-1)),"GD",""))&gt;0),"موجود","")</f>
        <v/>
      </c>
    </row>
    <row r="505" spans="1:16">
      <c r="A505" s="3">
        <v>504</v>
      </c>
      <c r="B505" s="3" t="s">
        <v>492</v>
      </c>
      <c r="C505" s="3" t="s">
        <v>537</v>
      </c>
      <c r="D505" s="3">
        <v>0.43</v>
      </c>
      <c r="E505" s="3">
        <v>750</v>
      </c>
      <c r="F505" s="3">
        <v>4.5</v>
      </c>
      <c r="G505" s="3">
        <v>10.5</v>
      </c>
      <c r="H505" s="3">
        <v>0</v>
      </c>
      <c r="I505" s="3">
        <v>0</v>
      </c>
      <c r="J505" s="3">
        <v>0</v>
      </c>
      <c r="K505" s="3">
        <v>0</v>
      </c>
      <c r="L505" s="3" t="s">
        <v>17</v>
      </c>
      <c r="M505" s="3" t="s">
        <v>46</v>
      </c>
      <c r="N505" s="2"/>
      <c r="O505" s="2"/>
      <c r="P505" s="3" t="str">
        <f>IF(OR(COUNTIF('ثبت لیبل'!$B$11:$B$1010,TRIM(LEFT(C505,FIND("-",C505&amp;"-")-1)))&gt;0,COUNTIF('ثبت لیبل'!$B$11:$B$1010,SUBSTITUTE(TRIM(LEFT(C505,FIND("-",C505&amp;"-")-1)),"GD",""))&gt;0),"موجود","")</f>
        <v/>
      </c>
    </row>
    <row r="506" spans="1:16">
      <c r="A506" s="3">
        <v>505</v>
      </c>
      <c r="B506" s="3" t="s">
        <v>492</v>
      </c>
      <c r="C506" s="3" t="s">
        <v>538</v>
      </c>
      <c r="D506" s="3">
        <v>0.43</v>
      </c>
      <c r="E506" s="3">
        <v>750</v>
      </c>
      <c r="F506" s="3">
        <v>4.5</v>
      </c>
      <c r="G506" s="3">
        <v>10.5</v>
      </c>
      <c r="H506" s="3">
        <v>0</v>
      </c>
      <c r="I506" s="3">
        <v>0</v>
      </c>
      <c r="J506" s="3">
        <v>0</v>
      </c>
      <c r="K506" s="3">
        <v>0</v>
      </c>
      <c r="L506" s="3" t="s">
        <v>17</v>
      </c>
      <c r="M506" s="3" t="s">
        <v>46</v>
      </c>
      <c r="N506" s="2"/>
      <c r="O506" s="2"/>
      <c r="P506" s="3" t="str">
        <f>IF(OR(COUNTIF('ثبت لیبل'!$B$11:$B$1010,TRIM(LEFT(C506,FIND("-",C506&amp;"-")-1)))&gt;0,COUNTIF('ثبت لیبل'!$B$11:$B$1010,SUBSTITUTE(TRIM(LEFT(C506,FIND("-",C506&amp;"-")-1)),"GD",""))&gt;0),"موجود","")</f>
        <v/>
      </c>
    </row>
    <row r="507" spans="1:16">
      <c r="A507" s="3">
        <v>506</v>
      </c>
      <c r="B507" s="3" t="s">
        <v>492</v>
      </c>
      <c r="C507" s="3" t="s">
        <v>539</v>
      </c>
      <c r="D507" s="3">
        <v>0.44</v>
      </c>
      <c r="E507" s="3">
        <v>750</v>
      </c>
      <c r="F507" s="3">
        <v>4.5</v>
      </c>
      <c r="G507" s="3">
        <v>10.5</v>
      </c>
      <c r="H507" s="3">
        <v>0</v>
      </c>
      <c r="I507" s="3">
        <v>0</v>
      </c>
      <c r="J507" s="3">
        <v>0</v>
      </c>
      <c r="K507" s="3">
        <v>0</v>
      </c>
      <c r="L507" s="3" t="s">
        <v>17</v>
      </c>
      <c r="M507" s="3" t="s">
        <v>46</v>
      </c>
      <c r="N507" s="2"/>
      <c r="O507" s="2"/>
      <c r="P507" s="3" t="str">
        <f>IF(OR(COUNTIF('ثبت لیبل'!$B$11:$B$1010,TRIM(LEFT(C507,FIND("-",C507&amp;"-")-1)))&gt;0,COUNTIF('ثبت لیبل'!$B$11:$B$1010,SUBSTITUTE(TRIM(LEFT(C507,FIND("-",C507&amp;"-")-1)),"GD",""))&gt;0),"موجود","")</f>
        <v/>
      </c>
    </row>
    <row r="508" spans="1:16">
      <c r="A508" s="3">
        <v>507</v>
      </c>
      <c r="B508" s="3" t="s">
        <v>492</v>
      </c>
      <c r="C508" s="3" t="s">
        <v>540</v>
      </c>
      <c r="D508" s="3">
        <v>0.44</v>
      </c>
      <c r="E508" s="3">
        <v>750</v>
      </c>
      <c r="F508" s="3">
        <v>4.5</v>
      </c>
      <c r="G508" s="3">
        <v>10.5</v>
      </c>
      <c r="H508" s="3">
        <v>0</v>
      </c>
      <c r="I508" s="3">
        <v>0</v>
      </c>
      <c r="J508" s="3">
        <v>0</v>
      </c>
      <c r="K508" s="3">
        <v>0</v>
      </c>
      <c r="L508" s="3" t="s">
        <v>17</v>
      </c>
      <c r="M508" s="3" t="s">
        <v>46</v>
      </c>
      <c r="N508" s="2"/>
      <c r="O508" s="2"/>
      <c r="P508" s="3" t="str">
        <f>IF(OR(COUNTIF('ثبت لیبل'!$B$11:$B$1010,TRIM(LEFT(C508,FIND("-",C508&amp;"-")-1)))&gt;0,COUNTIF('ثبت لیبل'!$B$11:$B$1010,SUBSTITUTE(TRIM(LEFT(C508,FIND("-",C508&amp;"-")-1)),"GD",""))&gt;0),"موجود","")</f>
        <v/>
      </c>
    </row>
    <row r="509" spans="1:16">
      <c r="A509" s="3">
        <v>508</v>
      </c>
      <c r="B509" s="3" t="s">
        <v>492</v>
      </c>
      <c r="C509" s="3" t="s">
        <v>541</v>
      </c>
      <c r="D509" s="3">
        <v>0.44</v>
      </c>
      <c r="E509" s="3">
        <v>750</v>
      </c>
      <c r="F509" s="3">
        <v>4.5</v>
      </c>
      <c r="G509" s="3">
        <v>10.5</v>
      </c>
      <c r="H509" s="3">
        <v>0</v>
      </c>
      <c r="I509" s="3">
        <v>0</v>
      </c>
      <c r="J509" s="3">
        <v>0</v>
      </c>
      <c r="K509" s="3">
        <v>0</v>
      </c>
      <c r="L509" s="3" t="s">
        <v>17</v>
      </c>
      <c r="M509" s="3" t="s">
        <v>46</v>
      </c>
      <c r="N509" s="2"/>
      <c r="O509" s="2"/>
      <c r="P509" s="3" t="str">
        <f>IF(OR(COUNTIF('ثبت لیبل'!$B$11:$B$1010,TRIM(LEFT(C509,FIND("-",C509&amp;"-")-1)))&gt;0,COUNTIF('ثبت لیبل'!$B$11:$B$1010,SUBSTITUTE(TRIM(LEFT(C509,FIND("-",C509&amp;"-")-1)),"GD",""))&gt;0),"موجود","")</f>
        <v/>
      </c>
    </row>
    <row r="510" spans="1:16">
      <c r="A510" s="3">
        <v>509</v>
      </c>
      <c r="B510" s="3" t="s">
        <v>492</v>
      </c>
      <c r="C510" s="3" t="s">
        <v>542</v>
      </c>
      <c r="D510" s="3">
        <v>0.44</v>
      </c>
      <c r="E510" s="3">
        <v>750</v>
      </c>
      <c r="F510" s="3">
        <v>4.5</v>
      </c>
      <c r="G510" s="3">
        <v>10.5</v>
      </c>
      <c r="H510" s="3">
        <v>0</v>
      </c>
      <c r="I510" s="3">
        <v>0</v>
      </c>
      <c r="J510" s="3">
        <v>0</v>
      </c>
      <c r="K510" s="3">
        <v>0</v>
      </c>
      <c r="L510" s="3" t="s">
        <v>17</v>
      </c>
      <c r="M510" s="3" t="s">
        <v>46</v>
      </c>
      <c r="N510" s="2"/>
      <c r="O510" s="2"/>
      <c r="P510" s="3" t="str">
        <f>IF(OR(COUNTIF('ثبت لیبل'!$B$11:$B$1010,TRIM(LEFT(C510,FIND("-",C510&amp;"-")-1)))&gt;0,COUNTIF('ثبت لیبل'!$B$11:$B$1010,SUBSTITUTE(TRIM(LEFT(C510,FIND("-",C510&amp;"-")-1)),"GD",""))&gt;0),"موجود","")</f>
        <v/>
      </c>
    </row>
    <row r="511" spans="1:16">
      <c r="A511" s="3">
        <v>510</v>
      </c>
      <c r="B511" s="3" t="s">
        <v>492</v>
      </c>
      <c r="C511" s="3" t="s">
        <v>543</v>
      </c>
      <c r="D511" s="3">
        <v>0.44</v>
      </c>
      <c r="E511" s="3">
        <v>750</v>
      </c>
      <c r="F511" s="3">
        <v>4.5</v>
      </c>
      <c r="G511" s="3">
        <v>10.5</v>
      </c>
      <c r="H511" s="3">
        <v>0</v>
      </c>
      <c r="I511" s="3">
        <v>0</v>
      </c>
      <c r="J511" s="3">
        <v>0</v>
      </c>
      <c r="K511" s="3">
        <v>0</v>
      </c>
      <c r="L511" s="3" t="s">
        <v>17</v>
      </c>
      <c r="M511" s="3" t="s">
        <v>46</v>
      </c>
      <c r="N511" s="2"/>
      <c r="O511" s="2"/>
      <c r="P511" s="3" t="str">
        <f>IF(OR(COUNTIF('ثبت لیبل'!$B$11:$B$1010,TRIM(LEFT(C511,FIND("-",C511&amp;"-")-1)))&gt;0,COUNTIF('ثبت لیبل'!$B$11:$B$1010,SUBSTITUTE(TRIM(LEFT(C511,FIND("-",C511&amp;"-")-1)),"GD",""))&gt;0),"موجود","")</f>
        <v/>
      </c>
    </row>
    <row r="512" spans="1:16">
      <c r="A512" s="3">
        <v>511</v>
      </c>
      <c r="B512" s="3" t="s">
        <v>492</v>
      </c>
      <c r="C512" s="3" t="s">
        <v>544</v>
      </c>
      <c r="D512" s="3">
        <v>0.43</v>
      </c>
      <c r="E512" s="3">
        <v>750</v>
      </c>
      <c r="F512" s="3">
        <v>4.5</v>
      </c>
      <c r="G512" s="3">
        <v>10.5</v>
      </c>
      <c r="H512" s="3">
        <v>0</v>
      </c>
      <c r="I512" s="3">
        <v>0</v>
      </c>
      <c r="J512" s="3">
        <v>0</v>
      </c>
      <c r="K512" s="3">
        <v>0</v>
      </c>
      <c r="L512" s="3" t="s">
        <v>17</v>
      </c>
      <c r="M512" s="3" t="s">
        <v>46</v>
      </c>
      <c r="N512" s="2"/>
      <c r="O512" s="2"/>
      <c r="P512" s="3" t="str">
        <f>IF(OR(COUNTIF('ثبت لیبل'!$B$11:$B$1010,TRIM(LEFT(C512,FIND("-",C512&amp;"-")-1)))&gt;0,COUNTIF('ثبت لیبل'!$B$11:$B$1010,SUBSTITUTE(TRIM(LEFT(C512,FIND("-",C512&amp;"-")-1)),"GD",""))&gt;0),"موجود","")</f>
        <v/>
      </c>
    </row>
    <row r="513" spans="1:16">
      <c r="A513" s="3">
        <v>512</v>
      </c>
      <c r="B513" s="3" t="s">
        <v>492</v>
      </c>
      <c r="C513" s="3" t="s">
        <v>545</v>
      </c>
      <c r="D513" s="3">
        <v>2.08</v>
      </c>
      <c r="E513" s="3">
        <v>750</v>
      </c>
      <c r="F513" s="3">
        <v>5</v>
      </c>
      <c r="G513" s="3">
        <v>11</v>
      </c>
      <c r="H513" s="3">
        <v>0</v>
      </c>
      <c r="I513" s="3">
        <v>0</v>
      </c>
      <c r="J513" s="3">
        <v>0</v>
      </c>
      <c r="K513" s="3">
        <v>0</v>
      </c>
      <c r="L513" s="3" t="s">
        <v>17</v>
      </c>
      <c r="M513" s="3" t="s">
        <v>60</v>
      </c>
      <c r="N513" s="2"/>
      <c r="O513" s="2"/>
      <c r="P513" s="3" t="str">
        <f>IF(OR(COUNTIF('ثبت لیبل'!$B$11:$B$1010,TRIM(LEFT(C513,FIND("-",C513&amp;"-")-1)))&gt;0,COUNTIF('ثبت لیبل'!$B$11:$B$1010,SUBSTITUTE(TRIM(LEFT(C513,FIND("-",C513&amp;"-")-1)),"GD",""))&gt;0),"موجود","")</f>
        <v/>
      </c>
    </row>
    <row r="514" spans="1:16">
      <c r="A514" s="3">
        <v>513</v>
      </c>
      <c r="B514" s="3" t="s">
        <v>492</v>
      </c>
      <c r="C514" s="3" t="s">
        <v>546</v>
      </c>
      <c r="D514" s="3">
        <v>2.31</v>
      </c>
      <c r="E514" s="3">
        <v>750</v>
      </c>
      <c r="F514" s="3">
        <v>5</v>
      </c>
      <c r="G514" s="3">
        <v>11</v>
      </c>
      <c r="H514" s="3">
        <v>0</v>
      </c>
      <c r="I514" s="3">
        <v>0</v>
      </c>
      <c r="J514" s="3">
        <v>0</v>
      </c>
      <c r="K514" s="3">
        <v>0</v>
      </c>
      <c r="L514" s="3" t="s">
        <v>20</v>
      </c>
      <c r="M514" s="3" t="s">
        <v>60</v>
      </c>
      <c r="N514" s="2"/>
      <c r="O514" s="2"/>
      <c r="P514" s="3" t="str">
        <f>IF(OR(COUNTIF('ثبت لیبل'!$B$11:$B$1010,TRIM(LEFT(C514,FIND("-",C514&amp;"-")-1)))&gt;0,COUNTIF('ثبت لیبل'!$B$11:$B$1010,SUBSTITUTE(TRIM(LEFT(C514,FIND("-",C514&amp;"-")-1)),"GD",""))&gt;0),"موجود","")</f>
        <v/>
      </c>
    </row>
    <row r="515" spans="1:16">
      <c r="A515" s="3">
        <v>514</v>
      </c>
      <c r="B515" s="3" t="s">
        <v>492</v>
      </c>
      <c r="C515" s="3" t="s">
        <v>547</v>
      </c>
      <c r="D515" s="3">
        <v>2.39</v>
      </c>
      <c r="E515" s="3">
        <v>750</v>
      </c>
      <c r="F515" s="3">
        <v>5</v>
      </c>
      <c r="G515" s="3">
        <v>11</v>
      </c>
      <c r="H515" s="3">
        <v>0</v>
      </c>
      <c r="I515" s="3">
        <v>0</v>
      </c>
      <c r="J515" s="3">
        <v>0</v>
      </c>
      <c r="K515" s="3">
        <v>0</v>
      </c>
      <c r="L515" s="3" t="s">
        <v>17</v>
      </c>
      <c r="M515" s="3" t="s">
        <v>60</v>
      </c>
      <c r="N515" s="2"/>
      <c r="O515" s="2"/>
      <c r="P515" s="3" t="str">
        <f>IF(OR(COUNTIF('ثبت لیبل'!$B$11:$B$1010,TRIM(LEFT(C515,FIND("-",C515&amp;"-")-1)))&gt;0,COUNTIF('ثبت لیبل'!$B$11:$B$1010,SUBSTITUTE(TRIM(LEFT(C515,FIND("-",C515&amp;"-")-1)),"GD",""))&gt;0),"موجود","")</f>
        <v/>
      </c>
    </row>
    <row r="516" spans="1:16">
      <c r="A516" s="3">
        <v>515</v>
      </c>
      <c r="B516" s="3" t="s">
        <v>492</v>
      </c>
      <c r="C516" s="3" t="s">
        <v>548</v>
      </c>
      <c r="D516" s="3">
        <v>1.94</v>
      </c>
      <c r="E516" s="3">
        <v>750</v>
      </c>
      <c r="F516" s="3">
        <v>5</v>
      </c>
      <c r="G516" s="3">
        <v>11</v>
      </c>
      <c r="H516" s="3">
        <v>0</v>
      </c>
      <c r="I516" s="3">
        <v>0</v>
      </c>
      <c r="J516" s="3">
        <v>0</v>
      </c>
      <c r="K516" s="3">
        <v>0</v>
      </c>
      <c r="L516" s="3" t="s">
        <v>17</v>
      </c>
      <c r="M516" s="3" t="s">
        <v>60</v>
      </c>
      <c r="N516" s="2"/>
      <c r="O516" s="2"/>
      <c r="P516" s="3" t="str">
        <f>IF(OR(COUNTIF('ثبت لیبل'!$B$11:$B$1010,TRIM(LEFT(C516,FIND("-",C516&amp;"-")-1)))&gt;0,COUNTIF('ثبت لیبل'!$B$11:$B$1010,SUBSTITUTE(TRIM(LEFT(C516,FIND("-",C516&amp;"-")-1)),"GD",""))&gt;0),"موجود","")</f>
        <v/>
      </c>
    </row>
    <row r="517" spans="1:16">
      <c r="A517" s="3">
        <v>516</v>
      </c>
      <c r="B517" s="3" t="s">
        <v>492</v>
      </c>
      <c r="C517" s="3" t="s">
        <v>549</v>
      </c>
      <c r="D517" s="3">
        <v>0.61</v>
      </c>
      <c r="E517" s="3">
        <v>750</v>
      </c>
      <c r="F517" s="3">
        <v>5.5</v>
      </c>
      <c r="G517" s="3">
        <v>11.5</v>
      </c>
      <c r="H517" s="3">
        <v>0</v>
      </c>
      <c r="I517" s="3">
        <v>0</v>
      </c>
      <c r="J517" s="3">
        <v>0</v>
      </c>
      <c r="K517" s="3">
        <v>0</v>
      </c>
      <c r="L517" s="3" t="s">
        <v>17</v>
      </c>
      <c r="M517" s="3" t="s">
        <v>21</v>
      </c>
      <c r="N517" s="2"/>
      <c r="O517" s="2"/>
      <c r="P517" s="3" t="str">
        <f>IF(OR(COUNTIF('ثبت لیبل'!$B$11:$B$1010,TRIM(LEFT(C517,FIND("-",C517&amp;"-")-1)))&gt;0,COUNTIF('ثبت لیبل'!$B$11:$B$1010,SUBSTITUTE(TRIM(LEFT(C517,FIND("-",C517&amp;"-")-1)),"GD",""))&gt;0),"موجود","")</f>
        <v/>
      </c>
    </row>
    <row r="518" spans="1:16">
      <c r="A518" s="3">
        <v>517</v>
      </c>
      <c r="B518" s="3" t="s">
        <v>492</v>
      </c>
      <c r="C518" s="3" t="s">
        <v>550</v>
      </c>
      <c r="D518" s="3">
        <v>0.55000000000000004</v>
      </c>
      <c r="E518" s="3">
        <v>750</v>
      </c>
      <c r="F518" s="3">
        <v>4</v>
      </c>
      <c r="G518" s="3">
        <v>10</v>
      </c>
      <c r="H518" s="3">
        <v>0</v>
      </c>
      <c r="I518" s="3">
        <v>0</v>
      </c>
      <c r="J518" s="3">
        <v>0</v>
      </c>
      <c r="K518" s="3">
        <v>0</v>
      </c>
      <c r="L518" s="3" t="s">
        <v>17</v>
      </c>
      <c r="M518" s="3" t="s">
        <v>551</v>
      </c>
      <c r="N518" s="2"/>
      <c r="O518" s="2"/>
      <c r="P518" s="3" t="str">
        <f>IF(OR(COUNTIF('ثبت لیبل'!$B$11:$B$1010,TRIM(LEFT(C518,FIND("-",C518&amp;"-")-1)))&gt;0,COUNTIF('ثبت لیبل'!$B$11:$B$1010,SUBSTITUTE(TRIM(LEFT(C518,FIND("-",C518&amp;"-")-1)),"GD",""))&gt;0),"موجود","")</f>
        <v/>
      </c>
    </row>
    <row r="519" spans="1:16">
      <c r="A519" s="3">
        <v>518</v>
      </c>
      <c r="B519" s="3" t="s">
        <v>492</v>
      </c>
      <c r="C519" s="3" t="s">
        <v>552</v>
      </c>
      <c r="D519" s="3">
        <v>0.67</v>
      </c>
      <c r="E519" s="3">
        <v>750</v>
      </c>
      <c r="F519" s="3">
        <v>4</v>
      </c>
      <c r="G519" s="3">
        <v>10</v>
      </c>
      <c r="H519" s="3">
        <v>0</v>
      </c>
      <c r="I519" s="3">
        <v>0</v>
      </c>
      <c r="J519" s="3">
        <v>0</v>
      </c>
      <c r="K519" s="3">
        <v>0</v>
      </c>
      <c r="L519" s="3" t="s">
        <v>17</v>
      </c>
      <c r="M519" s="3" t="s">
        <v>551</v>
      </c>
      <c r="N519" s="2"/>
      <c r="O519" s="2"/>
      <c r="P519" s="3" t="str">
        <f>IF(OR(COUNTIF('ثبت لیبل'!$B$11:$B$1010,TRIM(LEFT(C519,FIND("-",C519&amp;"-")-1)))&gt;0,COUNTIF('ثبت لیبل'!$B$11:$B$1010,SUBSTITUTE(TRIM(LEFT(C519,FIND("-",C519&amp;"-")-1)),"GD",""))&gt;0),"موجود","")</f>
        <v/>
      </c>
    </row>
    <row r="520" spans="1:16">
      <c r="A520" s="3">
        <v>519</v>
      </c>
      <c r="B520" s="3" t="s">
        <v>492</v>
      </c>
      <c r="C520" s="3" t="s">
        <v>553</v>
      </c>
      <c r="D520" s="3">
        <v>0.71</v>
      </c>
      <c r="E520" s="3">
        <v>750</v>
      </c>
      <c r="F520" s="3">
        <v>4</v>
      </c>
      <c r="G520" s="3">
        <v>10</v>
      </c>
      <c r="H520" s="3">
        <v>0</v>
      </c>
      <c r="I520" s="3">
        <v>0</v>
      </c>
      <c r="J520" s="3">
        <v>0</v>
      </c>
      <c r="K520" s="3">
        <v>0</v>
      </c>
      <c r="L520" s="3" t="s">
        <v>17</v>
      </c>
      <c r="M520" s="3" t="s">
        <v>551</v>
      </c>
      <c r="N520" s="2"/>
      <c r="O520" s="2"/>
      <c r="P520" s="3" t="str">
        <f>IF(OR(COUNTIF('ثبت لیبل'!$B$11:$B$1010,TRIM(LEFT(C520,FIND("-",C520&amp;"-")-1)))&gt;0,COUNTIF('ثبت لیبل'!$B$11:$B$1010,SUBSTITUTE(TRIM(LEFT(C520,FIND("-",C520&amp;"-")-1)),"GD",""))&gt;0),"موجود","")</f>
        <v/>
      </c>
    </row>
    <row r="521" spans="1:16">
      <c r="A521" s="3">
        <v>520</v>
      </c>
      <c r="B521" s="3" t="s">
        <v>492</v>
      </c>
      <c r="C521" s="3" t="s">
        <v>554</v>
      </c>
      <c r="D521" s="3">
        <v>0.56000000000000005</v>
      </c>
      <c r="E521" s="3">
        <v>750</v>
      </c>
      <c r="F521" s="3">
        <v>5.5</v>
      </c>
      <c r="G521" s="3">
        <v>11.5</v>
      </c>
      <c r="H521" s="3">
        <v>0</v>
      </c>
      <c r="I521" s="3">
        <v>0</v>
      </c>
      <c r="J521" s="3">
        <v>0</v>
      </c>
      <c r="K521" s="3">
        <v>0</v>
      </c>
      <c r="L521" s="3" t="s">
        <v>17</v>
      </c>
      <c r="M521" s="3" t="s">
        <v>21</v>
      </c>
      <c r="N521" s="2"/>
      <c r="O521" s="2"/>
      <c r="P521" s="3" t="str">
        <f>IF(OR(COUNTIF('ثبت لیبل'!$B$11:$B$1010,TRIM(LEFT(C521,FIND("-",C521&amp;"-")-1)))&gt;0,COUNTIF('ثبت لیبل'!$B$11:$B$1010,SUBSTITUTE(TRIM(LEFT(C521,FIND("-",C521&amp;"-")-1)),"GD",""))&gt;0),"موجود","")</f>
        <v/>
      </c>
    </row>
    <row r="522" spans="1:16">
      <c r="A522" s="3">
        <v>521</v>
      </c>
      <c r="B522" s="3" t="s">
        <v>492</v>
      </c>
      <c r="C522" s="3" t="s">
        <v>555</v>
      </c>
      <c r="D522" s="3">
        <v>0.63</v>
      </c>
      <c r="E522" s="3">
        <v>750</v>
      </c>
      <c r="F522" s="3">
        <v>5.5</v>
      </c>
      <c r="G522" s="3">
        <v>11.5</v>
      </c>
      <c r="H522" s="3">
        <v>0</v>
      </c>
      <c r="I522" s="3">
        <v>0</v>
      </c>
      <c r="J522" s="3">
        <v>0</v>
      </c>
      <c r="K522" s="3">
        <v>0</v>
      </c>
      <c r="L522" s="3" t="s">
        <v>17</v>
      </c>
      <c r="M522" s="3" t="s">
        <v>21</v>
      </c>
      <c r="N522" s="2"/>
      <c r="O522" s="2"/>
      <c r="P522" s="3" t="str">
        <f>IF(OR(COUNTIF('ثبت لیبل'!$B$11:$B$1010,TRIM(LEFT(C522,FIND("-",C522&amp;"-")-1)))&gt;0,COUNTIF('ثبت لیبل'!$B$11:$B$1010,SUBSTITUTE(TRIM(LEFT(C522,FIND("-",C522&amp;"-")-1)),"GD",""))&gt;0),"موجود","")</f>
        <v/>
      </c>
    </row>
    <row r="523" spans="1:16">
      <c r="A523" s="3">
        <v>522</v>
      </c>
      <c r="B523" s="3" t="s">
        <v>492</v>
      </c>
      <c r="C523" s="3" t="s">
        <v>556</v>
      </c>
      <c r="D523" s="3">
        <v>0.98</v>
      </c>
      <c r="E523" s="3">
        <v>750</v>
      </c>
      <c r="F523" s="3">
        <v>5.5</v>
      </c>
      <c r="G523" s="3">
        <v>11.5</v>
      </c>
      <c r="H523" s="3">
        <v>0</v>
      </c>
      <c r="I523" s="3">
        <v>0</v>
      </c>
      <c r="J523" s="3">
        <v>0</v>
      </c>
      <c r="K523" s="3">
        <v>0</v>
      </c>
      <c r="L523" s="3" t="s">
        <v>17</v>
      </c>
      <c r="M523" s="3" t="s">
        <v>21</v>
      </c>
      <c r="N523" s="2"/>
      <c r="O523" s="2"/>
      <c r="P523" s="3" t="str">
        <f>IF(OR(COUNTIF('ثبت لیبل'!$B$11:$B$1010,TRIM(LEFT(C523,FIND("-",C523&amp;"-")-1)))&gt;0,COUNTIF('ثبت لیبل'!$B$11:$B$1010,SUBSTITUTE(TRIM(LEFT(C523,FIND("-",C523&amp;"-")-1)),"GD",""))&gt;0),"موجود","")</f>
        <v/>
      </c>
    </row>
    <row r="524" spans="1:16">
      <c r="A524" s="3">
        <v>523</v>
      </c>
      <c r="B524" s="3" t="s">
        <v>492</v>
      </c>
      <c r="C524" s="3" t="s">
        <v>557</v>
      </c>
      <c r="D524" s="3">
        <v>0.62</v>
      </c>
      <c r="E524" s="3">
        <v>750</v>
      </c>
      <c r="F524" s="3">
        <v>5.5</v>
      </c>
      <c r="G524" s="3">
        <v>11.5</v>
      </c>
      <c r="H524" s="3">
        <v>0</v>
      </c>
      <c r="I524" s="3">
        <v>0</v>
      </c>
      <c r="J524" s="3">
        <v>0</v>
      </c>
      <c r="K524" s="3">
        <v>0</v>
      </c>
      <c r="L524" s="3" t="s">
        <v>17</v>
      </c>
      <c r="M524" s="3" t="s">
        <v>21</v>
      </c>
      <c r="N524" s="2"/>
      <c r="O524" s="2"/>
      <c r="P524" s="3" t="str">
        <f>IF(OR(COUNTIF('ثبت لیبل'!$B$11:$B$1010,TRIM(LEFT(C524,FIND("-",C524&amp;"-")-1)))&gt;0,COUNTIF('ثبت لیبل'!$B$11:$B$1010,SUBSTITUTE(TRIM(LEFT(C524,FIND("-",C524&amp;"-")-1)),"GD",""))&gt;0),"موجود","")</f>
        <v/>
      </c>
    </row>
    <row r="525" spans="1:16">
      <c r="A525" s="3">
        <v>524</v>
      </c>
      <c r="B525" s="3" t="s">
        <v>492</v>
      </c>
      <c r="C525" s="3" t="s">
        <v>558</v>
      </c>
      <c r="D525" s="3">
        <v>0.85</v>
      </c>
      <c r="E525" s="3">
        <v>750</v>
      </c>
      <c r="F525" s="3">
        <v>5.5</v>
      </c>
      <c r="G525" s="3">
        <v>11.5</v>
      </c>
      <c r="H525" s="3">
        <v>0</v>
      </c>
      <c r="I525" s="3">
        <v>0</v>
      </c>
      <c r="J525" s="3">
        <v>0</v>
      </c>
      <c r="K525" s="3">
        <v>0</v>
      </c>
      <c r="L525" s="3" t="s">
        <v>17</v>
      </c>
      <c r="M525" s="3" t="s">
        <v>21</v>
      </c>
      <c r="N525" s="2"/>
      <c r="O525" s="2"/>
      <c r="P525" s="3" t="str">
        <f>IF(OR(COUNTIF('ثبت لیبل'!$B$11:$B$1010,TRIM(LEFT(C525,FIND("-",C525&amp;"-")-1)))&gt;0,COUNTIF('ثبت لیبل'!$B$11:$B$1010,SUBSTITUTE(TRIM(LEFT(C525,FIND("-",C525&amp;"-")-1)),"GD",""))&gt;0),"موجود","")</f>
        <v/>
      </c>
    </row>
    <row r="526" spans="1:16">
      <c r="A526" s="3">
        <v>525</v>
      </c>
      <c r="B526" s="3" t="s">
        <v>492</v>
      </c>
      <c r="C526" s="3" t="s">
        <v>559</v>
      </c>
      <c r="D526" s="3">
        <v>3.12</v>
      </c>
      <c r="E526" s="3">
        <v>750</v>
      </c>
      <c r="F526" s="3">
        <v>3</v>
      </c>
      <c r="G526" s="3">
        <v>9</v>
      </c>
      <c r="H526" s="3">
        <v>0</v>
      </c>
      <c r="I526" s="3">
        <v>0</v>
      </c>
      <c r="J526" s="3">
        <v>0</v>
      </c>
      <c r="K526" s="3">
        <v>0</v>
      </c>
      <c r="L526" s="3" t="s">
        <v>20</v>
      </c>
      <c r="M526" s="3" t="s">
        <v>46</v>
      </c>
      <c r="N526" s="2"/>
      <c r="O526" s="2"/>
      <c r="P526" s="3" t="str">
        <f>IF(OR(COUNTIF('ثبت لیبل'!$B$11:$B$1010,TRIM(LEFT(C526,FIND("-",C526&amp;"-")-1)))&gt;0,COUNTIF('ثبت لیبل'!$B$11:$B$1010,SUBSTITUTE(TRIM(LEFT(C526,FIND("-",C526&amp;"-")-1)),"GD",""))&gt;0),"موجود","")</f>
        <v/>
      </c>
    </row>
    <row r="527" spans="1:16">
      <c r="A527" s="3">
        <v>526</v>
      </c>
      <c r="B527" s="3" t="s">
        <v>492</v>
      </c>
      <c r="C527" s="3" t="s">
        <v>560</v>
      </c>
      <c r="D527" s="3">
        <v>2.19</v>
      </c>
      <c r="E527" s="3">
        <v>750</v>
      </c>
      <c r="F527" s="3">
        <v>4</v>
      </c>
      <c r="G527" s="3">
        <v>10</v>
      </c>
      <c r="H527" s="3">
        <v>0</v>
      </c>
      <c r="I527" s="3">
        <v>0</v>
      </c>
      <c r="J527" s="3">
        <v>0</v>
      </c>
      <c r="K527" s="3">
        <v>0</v>
      </c>
      <c r="L527" s="3" t="s">
        <v>17</v>
      </c>
      <c r="M527" s="3" t="s">
        <v>114</v>
      </c>
      <c r="N527" s="2"/>
      <c r="O527" s="2"/>
      <c r="P527" s="3" t="str">
        <f>IF(OR(COUNTIF('ثبت لیبل'!$B$11:$B$1010,TRIM(LEFT(C527,FIND("-",C527&amp;"-")-1)))&gt;0,COUNTIF('ثبت لیبل'!$B$11:$B$1010,SUBSTITUTE(TRIM(LEFT(C527,FIND("-",C527&amp;"-")-1)),"GD",""))&gt;0),"موجود","")</f>
        <v/>
      </c>
    </row>
    <row r="528" spans="1:16">
      <c r="A528" s="3">
        <v>527</v>
      </c>
      <c r="B528" s="3" t="s">
        <v>492</v>
      </c>
      <c r="C528" s="3" t="s">
        <v>561</v>
      </c>
      <c r="D528" s="3">
        <v>3.45</v>
      </c>
      <c r="E528" s="3">
        <v>750</v>
      </c>
      <c r="F528" s="3">
        <v>6.5</v>
      </c>
      <c r="G528" s="3">
        <v>12.5</v>
      </c>
      <c r="H528" s="3">
        <v>0</v>
      </c>
      <c r="I528" s="3">
        <v>0</v>
      </c>
      <c r="J528" s="3">
        <v>0</v>
      </c>
      <c r="K528" s="3">
        <v>0</v>
      </c>
      <c r="L528" s="3" t="s">
        <v>20</v>
      </c>
      <c r="M528" s="3" t="s">
        <v>76</v>
      </c>
      <c r="N528" s="2"/>
      <c r="O528" s="2"/>
      <c r="P528" s="3" t="str">
        <f>IF(OR(COUNTIF('ثبت لیبل'!$B$11:$B$1010,TRIM(LEFT(C528,FIND("-",C528&amp;"-")-1)))&gt;0,COUNTIF('ثبت لیبل'!$B$11:$B$1010,SUBSTITUTE(TRIM(LEFT(C528,FIND("-",C528&amp;"-")-1)),"GD",""))&gt;0),"موجود","")</f>
        <v/>
      </c>
    </row>
    <row r="529" spans="1:16">
      <c r="A529" s="3">
        <v>528</v>
      </c>
      <c r="B529" s="3" t="s">
        <v>492</v>
      </c>
      <c r="C529" s="3" t="s">
        <v>562</v>
      </c>
      <c r="D529" s="3">
        <v>1.71</v>
      </c>
      <c r="E529" s="3">
        <v>750</v>
      </c>
      <c r="F529" s="3">
        <v>6.5</v>
      </c>
      <c r="G529" s="3">
        <v>12.5</v>
      </c>
      <c r="H529" s="3">
        <v>0</v>
      </c>
      <c r="I529" s="3">
        <v>0</v>
      </c>
      <c r="J529" s="3">
        <v>0</v>
      </c>
      <c r="K529" s="3">
        <v>0</v>
      </c>
      <c r="L529" s="3" t="s">
        <v>17</v>
      </c>
      <c r="M529" s="3" t="s">
        <v>76</v>
      </c>
      <c r="N529" s="2"/>
      <c r="O529" s="2"/>
      <c r="P529" s="3" t="str">
        <f>IF(OR(COUNTIF('ثبت لیبل'!$B$11:$B$1010,TRIM(LEFT(C529,FIND("-",C529&amp;"-")-1)))&gt;0,COUNTIF('ثبت لیبل'!$B$11:$B$1010,SUBSTITUTE(TRIM(LEFT(C529,FIND("-",C529&amp;"-")-1)),"GD",""))&gt;0),"موجود","")</f>
        <v/>
      </c>
    </row>
    <row r="530" spans="1:16">
      <c r="A530" s="3">
        <v>529</v>
      </c>
      <c r="B530" s="3" t="s">
        <v>492</v>
      </c>
      <c r="C530" s="3" t="s">
        <v>563</v>
      </c>
      <c r="D530" s="3">
        <v>1.55</v>
      </c>
      <c r="E530" s="3">
        <v>750</v>
      </c>
      <c r="F530" s="3">
        <v>6.5</v>
      </c>
      <c r="G530" s="3">
        <v>12.5</v>
      </c>
      <c r="H530" s="3">
        <v>0</v>
      </c>
      <c r="I530" s="3">
        <v>0</v>
      </c>
      <c r="J530" s="3">
        <v>0</v>
      </c>
      <c r="K530" s="3">
        <v>0</v>
      </c>
      <c r="L530" s="3" t="s">
        <v>17</v>
      </c>
      <c r="M530" s="3" t="s">
        <v>76</v>
      </c>
      <c r="N530" s="2"/>
      <c r="O530" s="2"/>
      <c r="P530" s="3" t="str">
        <f>IF(OR(COUNTIF('ثبت لیبل'!$B$11:$B$1010,TRIM(LEFT(C530,FIND("-",C530&amp;"-")-1)))&gt;0,COUNTIF('ثبت لیبل'!$B$11:$B$1010,SUBSTITUTE(TRIM(LEFT(C530,FIND("-",C530&amp;"-")-1)),"GD",""))&gt;0),"موجود","")</f>
        <v/>
      </c>
    </row>
    <row r="531" spans="1:16">
      <c r="A531" s="3">
        <v>530</v>
      </c>
      <c r="B531" s="3" t="s">
        <v>492</v>
      </c>
      <c r="C531" s="3" t="s">
        <v>564</v>
      </c>
      <c r="D531" s="3">
        <v>1.5</v>
      </c>
      <c r="E531" s="3">
        <v>750</v>
      </c>
      <c r="F531" s="3">
        <v>6</v>
      </c>
      <c r="G531" s="3">
        <v>12</v>
      </c>
      <c r="H531" s="3">
        <v>0</v>
      </c>
      <c r="I531" s="3">
        <v>0</v>
      </c>
      <c r="J531" s="3">
        <v>0</v>
      </c>
      <c r="K531" s="3">
        <v>0</v>
      </c>
      <c r="L531" s="3" t="s">
        <v>63</v>
      </c>
      <c r="M531" s="3" t="s">
        <v>76</v>
      </c>
      <c r="N531" s="2"/>
      <c r="O531" s="2"/>
      <c r="P531" s="3" t="str">
        <f>IF(OR(COUNTIF('ثبت لیبل'!$B$11:$B$1010,TRIM(LEFT(C531,FIND("-",C531&amp;"-")-1)))&gt;0,COUNTIF('ثبت لیبل'!$B$11:$B$1010,SUBSTITUTE(TRIM(LEFT(C531,FIND("-",C531&amp;"-")-1)),"GD",""))&gt;0),"موجود","")</f>
        <v/>
      </c>
    </row>
    <row r="532" spans="1:16">
      <c r="A532" s="3">
        <v>531</v>
      </c>
      <c r="B532" s="3" t="s">
        <v>492</v>
      </c>
      <c r="C532" s="3" t="s">
        <v>565</v>
      </c>
      <c r="D532" s="3">
        <v>1.48</v>
      </c>
      <c r="E532" s="3">
        <v>750</v>
      </c>
      <c r="F532" s="3">
        <v>6.5</v>
      </c>
      <c r="G532" s="3">
        <v>12.5</v>
      </c>
      <c r="H532" s="3">
        <v>0</v>
      </c>
      <c r="I532" s="3">
        <v>0</v>
      </c>
      <c r="J532" s="3">
        <v>0</v>
      </c>
      <c r="K532" s="3">
        <v>0</v>
      </c>
      <c r="L532" s="3" t="s">
        <v>17</v>
      </c>
      <c r="M532" s="3" t="s">
        <v>76</v>
      </c>
      <c r="N532" s="2"/>
      <c r="O532" s="2"/>
      <c r="P532" s="3" t="str">
        <f>IF(OR(COUNTIF('ثبت لیبل'!$B$11:$B$1010,TRIM(LEFT(C532,FIND("-",C532&amp;"-")-1)))&gt;0,COUNTIF('ثبت لیبل'!$B$11:$B$1010,SUBSTITUTE(TRIM(LEFT(C532,FIND("-",C532&amp;"-")-1)),"GD",""))&gt;0),"موجود","")</f>
        <v/>
      </c>
    </row>
    <row r="533" spans="1:16">
      <c r="A533" s="3">
        <v>532</v>
      </c>
      <c r="B533" s="3" t="s">
        <v>492</v>
      </c>
      <c r="C533" s="3" t="s">
        <v>566</v>
      </c>
      <c r="D533" s="3">
        <v>0.82</v>
      </c>
      <c r="E533" s="3">
        <v>750</v>
      </c>
      <c r="F533" s="3">
        <v>17</v>
      </c>
      <c r="G533" s="3">
        <v>23</v>
      </c>
      <c r="H533" s="3">
        <v>0</v>
      </c>
      <c r="I533" s="3">
        <v>0</v>
      </c>
      <c r="J533" s="3">
        <v>0</v>
      </c>
      <c r="K533" s="3">
        <v>0</v>
      </c>
      <c r="L533" s="3" t="s">
        <v>17</v>
      </c>
      <c r="M533" s="3" t="s">
        <v>46</v>
      </c>
      <c r="N533" s="2"/>
      <c r="O533" s="2"/>
      <c r="P533" s="3" t="str">
        <f>IF(OR(COUNTIF('ثبت لیبل'!$B$11:$B$1010,TRIM(LEFT(C533,FIND("-",C533&amp;"-")-1)))&gt;0,COUNTIF('ثبت لیبل'!$B$11:$B$1010,SUBSTITUTE(TRIM(LEFT(C533,FIND("-",C533&amp;"-")-1)),"GD",""))&gt;0),"موجود","")</f>
        <v/>
      </c>
    </row>
    <row r="534" spans="1:16">
      <c r="A534" s="3">
        <v>533</v>
      </c>
      <c r="B534" s="3" t="s">
        <v>492</v>
      </c>
      <c r="C534" s="3" t="s">
        <v>567</v>
      </c>
      <c r="D534" s="3">
        <v>1.25</v>
      </c>
      <c r="E534" s="3">
        <v>750</v>
      </c>
      <c r="F534" s="3">
        <v>13</v>
      </c>
      <c r="G534" s="3">
        <v>19</v>
      </c>
      <c r="H534" s="3">
        <v>0</v>
      </c>
      <c r="I534" s="3">
        <v>0</v>
      </c>
      <c r="J534" s="3">
        <v>0</v>
      </c>
      <c r="K534" s="3">
        <v>0</v>
      </c>
      <c r="L534" s="3" t="s">
        <v>17</v>
      </c>
      <c r="M534" s="3" t="s">
        <v>60</v>
      </c>
      <c r="N534" s="2"/>
      <c r="O534" s="2"/>
      <c r="P534" s="3" t="str">
        <f>IF(OR(COUNTIF('ثبت لیبل'!$B$11:$B$1010,TRIM(LEFT(C534,FIND("-",C534&amp;"-")-1)))&gt;0,COUNTIF('ثبت لیبل'!$B$11:$B$1010,SUBSTITUTE(TRIM(LEFT(C534,FIND("-",C534&amp;"-")-1)),"GD",""))&gt;0),"موجود","")</f>
        <v/>
      </c>
    </row>
    <row r="535" spans="1:16">
      <c r="A535" s="3">
        <v>534</v>
      </c>
      <c r="B535" s="3" t="s">
        <v>492</v>
      </c>
      <c r="C535" s="3" t="s">
        <v>568</v>
      </c>
      <c r="D535" s="3">
        <v>1.2</v>
      </c>
      <c r="E535" s="3">
        <v>750</v>
      </c>
      <c r="F535" s="3">
        <v>13</v>
      </c>
      <c r="G535" s="3">
        <v>19</v>
      </c>
      <c r="H535" s="3">
        <v>0</v>
      </c>
      <c r="I535" s="3">
        <v>0</v>
      </c>
      <c r="J535" s="3">
        <v>0</v>
      </c>
      <c r="K535" s="3">
        <v>0</v>
      </c>
      <c r="L535" s="3" t="s">
        <v>17</v>
      </c>
      <c r="M535" s="3" t="s">
        <v>60</v>
      </c>
      <c r="N535" s="2"/>
      <c r="O535" s="2"/>
      <c r="P535" s="3" t="str">
        <f>IF(OR(COUNTIF('ثبت لیبل'!$B$11:$B$1010,TRIM(LEFT(C535,FIND("-",C535&amp;"-")-1)))&gt;0,COUNTIF('ثبت لیبل'!$B$11:$B$1010,SUBSTITUTE(TRIM(LEFT(C535,FIND("-",C535&amp;"-")-1)),"GD",""))&gt;0),"موجود","")</f>
        <v/>
      </c>
    </row>
    <row r="536" spans="1:16">
      <c r="A536" s="3">
        <v>535</v>
      </c>
      <c r="B536" s="3" t="s">
        <v>492</v>
      </c>
      <c r="C536" s="3" t="s">
        <v>569</v>
      </c>
      <c r="D536" s="3">
        <v>1.21</v>
      </c>
      <c r="E536" s="3">
        <v>750</v>
      </c>
      <c r="F536" s="3">
        <v>18</v>
      </c>
      <c r="G536" s="2"/>
      <c r="H536" s="3">
        <v>0</v>
      </c>
      <c r="I536" s="2"/>
      <c r="J536" s="3">
        <v>0</v>
      </c>
      <c r="K536" s="2"/>
      <c r="L536" s="3" t="s">
        <v>17</v>
      </c>
      <c r="M536" s="3" t="s">
        <v>60</v>
      </c>
      <c r="N536" s="2"/>
      <c r="O536" s="2"/>
      <c r="P536" s="3" t="str">
        <f>IF(OR(COUNTIF('ثبت لیبل'!$B$11:$B$1010,TRIM(LEFT(C536,FIND("-",C536&amp;"-")-1)))&gt;0,COUNTIF('ثبت لیبل'!$B$11:$B$1010,SUBSTITUTE(TRIM(LEFT(C536,FIND("-",C536&amp;"-")-1)),"GD",""))&gt;0),"موجود","")</f>
        <v/>
      </c>
    </row>
    <row r="537" spans="1:16">
      <c r="A537" s="3">
        <v>536</v>
      </c>
      <c r="B537" s="3" t="s">
        <v>492</v>
      </c>
      <c r="C537" s="3" t="s">
        <v>570</v>
      </c>
      <c r="D537" s="3">
        <v>0.56999999999999995</v>
      </c>
      <c r="E537" s="3">
        <v>750</v>
      </c>
      <c r="F537" s="3">
        <v>17</v>
      </c>
      <c r="G537" s="3">
        <v>23</v>
      </c>
      <c r="H537" s="3">
        <v>0</v>
      </c>
      <c r="I537" s="3">
        <v>0</v>
      </c>
      <c r="J537" s="3">
        <v>0</v>
      </c>
      <c r="K537" s="3">
        <v>0</v>
      </c>
      <c r="L537" s="3" t="s">
        <v>17</v>
      </c>
      <c r="M537" s="3" t="s">
        <v>46</v>
      </c>
      <c r="N537" s="2"/>
      <c r="O537" s="2"/>
      <c r="P537" s="3" t="str">
        <f>IF(OR(COUNTIF('ثبت لیبل'!$B$11:$B$1010,TRIM(LEFT(C537,FIND("-",C537&amp;"-")-1)))&gt;0,COUNTIF('ثبت لیبل'!$B$11:$B$1010,SUBSTITUTE(TRIM(LEFT(C537,FIND("-",C537&amp;"-")-1)),"GD",""))&gt;0),"موجود","")</f>
        <v/>
      </c>
    </row>
    <row r="538" spans="1:16">
      <c r="A538" s="3">
        <v>537</v>
      </c>
      <c r="B538" s="3" t="s">
        <v>492</v>
      </c>
      <c r="C538" s="3" t="s">
        <v>571</v>
      </c>
      <c r="D538" s="3">
        <v>1.31</v>
      </c>
      <c r="E538" s="3">
        <v>750</v>
      </c>
      <c r="F538" s="3">
        <v>6.5</v>
      </c>
      <c r="G538" s="3">
        <v>12.5</v>
      </c>
      <c r="H538" s="3">
        <v>0</v>
      </c>
      <c r="I538" s="3">
        <v>0</v>
      </c>
      <c r="J538" s="3">
        <v>0</v>
      </c>
      <c r="K538" s="3">
        <v>0</v>
      </c>
      <c r="L538" s="3" t="s">
        <v>17</v>
      </c>
      <c r="M538" s="3" t="s">
        <v>21</v>
      </c>
      <c r="N538" s="2"/>
      <c r="O538" s="2"/>
      <c r="P538" s="3" t="str">
        <f>IF(OR(COUNTIF('ثبت لیبل'!$B$11:$B$1010,TRIM(LEFT(C538,FIND("-",C538&amp;"-")-1)))&gt;0,COUNTIF('ثبت لیبل'!$B$11:$B$1010,SUBSTITUTE(TRIM(LEFT(C538,FIND("-",C538&amp;"-")-1)),"GD",""))&gt;0),"موجود","")</f>
        <v/>
      </c>
    </row>
    <row r="539" spans="1:16">
      <c r="A539" s="3">
        <v>538</v>
      </c>
      <c r="B539" s="3" t="s">
        <v>492</v>
      </c>
      <c r="C539" s="3" t="s">
        <v>572</v>
      </c>
      <c r="D539" s="3">
        <v>2</v>
      </c>
      <c r="E539" s="3">
        <v>750</v>
      </c>
      <c r="F539" s="3">
        <v>7.5</v>
      </c>
      <c r="G539" s="3">
        <v>13.5</v>
      </c>
      <c r="H539" s="3">
        <v>0</v>
      </c>
      <c r="I539" s="3">
        <v>0</v>
      </c>
      <c r="J539" s="3">
        <v>0</v>
      </c>
      <c r="K539" s="3">
        <v>0</v>
      </c>
      <c r="L539" s="3" t="s">
        <v>17</v>
      </c>
      <c r="M539" s="3" t="s">
        <v>76</v>
      </c>
      <c r="N539" s="2"/>
      <c r="O539" s="2"/>
      <c r="P539" s="3" t="str">
        <f>IF(OR(COUNTIF('ثبت لیبل'!$B$11:$B$1010,TRIM(LEFT(C539,FIND("-",C539&amp;"-")-1)))&gt;0,COUNTIF('ثبت لیبل'!$B$11:$B$1010,SUBSTITUTE(TRIM(LEFT(C539,FIND("-",C539&amp;"-")-1)),"GD",""))&gt;0),"موجود","")</f>
        <v/>
      </c>
    </row>
    <row r="540" spans="1:16">
      <c r="A540" s="3">
        <v>539</v>
      </c>
      <c r="B540" s="3" t="s">
        <v>492</v>
      </c>
      <c r="C540" s="3" t="s">
        <v>573</v>
      </c>
      <c r="D540" s="3">
        <v>1.1499999999999999</v>
      </c>
      <c r="E540" s="3">
        <v>750</v>
      </c>
      <c r="F540" s="3">
        <v>7.5</v>
      </c>
      <c r="G540" s="3">
        <v>13.5</v>
      </c>
      <c r="H540" s="3">
        <v>0</v>
      </c>
      <c r="I540" s="3">
        <v>0</v>
      </c>
      <c r="J540" s="3">
        <v>0</v>
      </c>
      <c r="K540" s="3">
        <v>0</v>
      </c>
      <c r="L540" s="3" t="s">
        <v>17</v>
      </c>
      <c r="M540" s="3" t="s">
        <v>76</v>
      </c>
      <c r="N540" s="2"/>
      <c r="O540" s="2"/>
      <c r="P540" s="3" t="str">
        <f>IF(OR(COUNTIF('ثبت لیبل'!$B$11:$B$1010,TRIM(LEFT(C540,FIND("-",C540&amp;"-")-1)))&gt;0,COUNTIF('ثبت لیبل'!$B$11:$B$1010,SUBSTITUTE(TRIM(LEFT(C540,FIND("-",C540&amp;"-")-1)),"GD",""))&gt;0),"موجود","")</f>
        <v/>
      </c>
    </row>
    <row r="541" spans="1:16">
      <c r="A541" s="3">
        <v>540</v>
      </c>
      <c r="B541" s="3" t="s">
        <v>492</v>
      </c>
      <c r="C541" s="3" t="s">
        <v>574</v>
      </c>
      <c r="D541" s="3">
        <v>1.74</v>
      </c>
      <c r="E541" s="3">
        <v>750</v>
      </c>
      <c r="F541" s="3">
        <v>7.5</v>
      </c>
      <c r="G541" s="3">
        <v>13.5</v>
      </c>
      <c r="H541" s="3">
        <v>0</v>
      </c>
      <c r="I541" s="3">
        <v>0</v>
      </c>
      <c r="J541" s="3">
        <v>0</v>
      </c>
      <c r="K541" s="3">
        <v>0</v>
      </c>
      <c r="L541" s="3" t="s">
        <v>20</v>
      </c>
      <c r="M541" s="3" t="s">
        <v>76</v>
      </c>
      <c r="N541" s="2"/>
      <c r="O541" s="2"/>
      <c r="P541" s="3" t="str">
        <f>IF(OR(COUNTIF('ثبت لیبل'!$B$11:$B$1010,TRIM(LEFT(C541,FIND("-",C541&amp;"-")-1)))&gt;0,COUNTIF('ثبت لیبل'!$B$11:$B$1010,SUBSTITUTE(TRIM(LEFT(C541,FIND("-",C541&amp;"-")-1)),"GD",""))&gt;0),"موجود","")</f>
        <v/>
      </c>
    </row>
    <row r="542" spans="1:16">
      <c r="A542" s="3">
        <v>541</v>
      </c>
      <c r="B542" s="3" t="s">
        <v>492</v>
      </c>
      <c r="C542" s="3" t="s">
        <v>575</v>
      </c>
      <c r="D542" s="3">
        <v>2.21</v>
      </c>
      <c r="E542" s="3">
        <v>750</v>
      </c>
      <c r="F542" s="3">
        <v>12</v>
      </c>
      <c r="G542" s="3">
        <v>18</v>
      </c>
      <c r="H542" s="3">
        <v>0</v>
      </c>
      <c r="I542" s="3">
        <v>0</v>
      </c>
      <c r="J542" s="3">
        <v>0</v>
      </c>
      <c r="K542" s="3">
        <v>0</v>
      </c>
      <c r="L542" s="3" t="s">
        <v>17</v>
      </c>
      <c r="M542" s="3" t="s">
        <v>114</v>
      </c>
      <c r="N542" s="2"/>
      <c r="O542" s="2"/>
      <c r="P542" s="3" t="str">
        <f>IF(OR(COUNTIF('ثبت لیبل'!$B$11:$B$1010,TRIM(LEFT(C542,FIND("-",C542&amp;"-")-1)))&gt;0,COUNTIF('ثبت لیبل'!$B$11:$B$1010,SUBSTITUTE(TRIM(LEFT(C542,FIND("-",C542&amp;"-")-1)),"GD",""))&gt;0),"موجود","")</f>
        <v/>
      </c>
    </row>
    <row r="543" spans="1:16">
      <c r="A543" s="3">
        <v>542</v>
      </c>
      <c r="B543" s="3" t="s">
        <v>492</v>
      </c>
      <c r="C543" s="3" t="s">
        <v>576</v>
      </c>
      <c r="D543" s="3">
        <v>0.65</v>
      </c>
      <c r="E543" s="3">
        <v>750</v>
      </c>
      <c r="F543" s="3">
        <v>17</v>
      </c>
      <c r="G543" s="3">
        <v>23</v>
      </c>
      <c r="H543" s="3">
        <v>0</v>
      </c>
      <c r="I543" s="3">
        <v>0</v>
      </c>
      <c r="J543" s="3">
        <v>0</v>
      </c>
      <c r="K543" s="3">
        <v>0</v>
      </c>
      <c r="L543" s="3" t="s">
        <v>17</v>
      </c>
      <c r="M543" s="3" t="s">
        <v>46</v>
      </c>
      <c r="N543" s="2"/>
      <c r="O543" s="2"/>
      <c r="P543" s="3" t="str">
        <f>IF(OR(COUNTIF('ثبت لیبل'!$B$11:$B$1010,TRIM(LEFT(C543,FIND("-",C543&amp;"-")-1)))&gt;0,COUNTIF('ثبت لیبل'!$B$11:$B$1010,SUBSTITUTE(TRIM(LEFT(C543,FIND("-",C543&amp;"-")-1)),"GD",""))&gt;0),"موجود","")</f>
        <v/>
      </c>
    </row>
    <row r="544" spans="1:16">
      <c r="A544" s="3">
        <v>543</v>
      </c>
      <c r="B544" s="3" t="s">
        <v>492</v>
      </c>
      <c r="C544" s="3" t="s">
        <v>577</v>
      </c>
      <c r="D544" s="3">
        <v>4.51</v>
      </c>
      <c r="E544" s="3">
        <v>750</v>
      </c>
      <c r="F544" s="3">
        <v>5.5</v>
      </c>
      <c r="G544" s="3">
        <v>11.5</v>
      </c>
      <c r="H544" s="3">
        <v>0</v>
      </c>
      <c r="I544" s="3">
        <v>0</v>
      </c>
      <c r="J544" s="3">
        <v>0</v>
      </c>
      <c r="K544" s="3">
        <v>0</v>
      </c>
      <c r="L544" s="3" t="s">
        <v>20</v>
      </c>
      <c r="M544" s="3" t="s">
        <v>76</v>
      </c>
      <c r="N544" s="2"/>
      <c r="O544" s="2"/>
      <c r="P544" s="3" t="str">
        <f>IF(OR(COUNTIF('ثبت لیبل'!$B$11:$B$1010,TRIM(LEFT(C544,FIND("-",C544&amp;"-")-1)))&gt;0,COUNTIF('ثبت لیبل'!$B$11:$B$1010,SUBSTITUTE(TRIM(LEFT(C544,FIND("-",C544&amp;"-")-1)),"GD",""))&gt;0),"موجود","")</f>
        <v/>
      </c>
    </row>
    <row r="545" spans="1:16">
      <c r="A545" s="3">
        <v>544</v>
      </c>
      <c r="B545" s="3" t="s">
        <v>492</v>
      </c>
      <c r="C545" s="3" t="s">
        <v>578</v>
      </c>
      <c r="D545" s="3">
        <v>3.51</v>
      </c>
      <c r="E545" s="3">
        <v>750</v>
      </c>
      <c r="F545" s="3">
        <v>5.5</v>
      </c>
      <c r="G545" s="3">
        <v>11.5</v>
      </c>
      <c r="H545" s="3">
        <v>0</v>
      </c>
      <c r="I545" s="3">
        <v>0</v>
      </c>
      <c r="J545" s="3">
        <v>0</v>
      </c>
      <c r="K545" s="3">
        <v>0</v>
      </c>
      <c r="L545" s="3" t="s">
        <v>20</v>
      </c>
      <c r="M545" s="3" t="s">
        <v>76</v>
      </c>
      <c r="N545" s="2"/>
      <c r="O545" s="2"/>
      <c r="P545" s="3" t="str">
        <f>IF(OR(COUNTIF('ثبت لیبل'!$B$11:$B$1010,TRIM(LEFT(C545,FIND("-",C545&amp;"-")-1)))&gt;0,COUNTIF('ثبت لیبل'!$B$11:$B$1010,SUBSTITUTE(TRIM(LEFT(C545,FIND("-",C545&amp;"-")-1)),"GD",""))&gt;0),"موجود","")</f>
        <v/>
      </c>
    </row>
    <row r="546" spans="1:16">
      <c r="A546" s="3">
        <v>545</v>
      </c>
      <c r="B546" s="3" t="s">
        <v>492</v>
      </c>
      <c r="C546" s="3" t="s">
        <v>579</v>
      </c>
      <c r="D546" s="3">
        <v>3.53</v>
      </c>
      <c r="E546" s="3">
        <v>750</v>
      </c>
      <c r="F546" s="3">
        <v>5.5</v>
      </c>
      <c r="G546" s="3">
        <v>11.5</v>
      </c>
      <c r="H546" s="3">
        <v>0</v>
      </c>
      <c r="I546" s="3">
        <v>0</v>
      </c>
      <c r="J546" s="3">
        <v>0</v>
      </c>
      <c r="K546" s="3">
        <v>0</v>
      </c>
      <c r="L546" s="3" t="s">
        <v>20</v>
      </c>
      <c r="M546" s="3" t="s">
        <v>76</v>
      </c>
      <c r="N546" s="2"/>
      <c r="O546" s="2"/>
      <c r="P546" s="3" t="str">
        <f>IF(OR(COUNTIF('ثبت لیبل'!$B$11:$B$1010,TRIM(LEFT(C546,FIND("-",C546&amp;"-")-1)))&gt;0,COUNTIF('ثبت لیبل'!$B$11:$B$1010,SUBSTITUTE(TRIM(LEFT(C546,FIND("-",C546&amp;"-")-1)),"GD",""))&gt;0),"موجود","")</f>
        <v/>
      </c>
    </row>
    <row r="547" spans="1:16">
      <c r="A547" s="3">
        <v>546</v>
      </c>
      <c r="B547" s="3" t="s">
        <v>492</v>
      </c>
      <c r="C547" s="3" t="s">
        <v>580</v>
      </c>
      <c r="D547" s="3">
        <v>3.55</v>
      </c>
      <c r="E547" s="3">
        <v>750</v>
      </c>
      <c r="F547" s="3">
        <v>5.5</v>
      </c>
      <c r="G547" s="3">
        <v>11.5</v>
      </c>
      <c r="H547" s="3">
        <v>0</v>
      </c>
      <c r="I547" s="3">
        <v>0</v>
      </c>
      <c r="J547" s="3">
        <v>0</v>
      </c>
      <c r="K547" s="3">
        <v>0</v>
      </c>
      <c r="L547" s="3" t="s">
        <v>20</v>
      </c>
      <c r="M547" s="3" t="s">
        <v>76</v>
      </c>
      <c r="N547" s="2"/>
      <c r="O547" s="2"/>
      <c r="P547" s="3" t="str">
        <f>IF(OR(COUNTIF('ثبت لیبل'!$B$11:$B$1010,TRIM(LEFT(C547,FIND("-",C547&amp;"-")-1)))&gt;0,COUNTIF('ثبت لیبل'!$B$11:$B$1010,SUBSTITUTE(TRIM(LEFT(C547,FIND("-",C547&amp;"-")-1)),"GD",""))&gt;0),"موجود","")</f>
        <v/>
      </c>
    </row>
    <row r="548" spans="1:16">
      <c r="A548" s="3">
        <v>547</v>
      </c>
      <c r="B548" s="3" t="s">
        <v>492</v>
      </c>
      <c r="C548" s="3" t="s">
        <v>581</v>
      </c>
      <c r="D548" s="3">
        <v>4.46</v>
      </c>
      <c r="E548" s="3">
        <v>750</v>
      </c>
      <c r="F548" s="3">
        <v>5.5</v>
      </c>
      <c r="G548" s="3">
        <v>11.5</v>
      </c>
      <c r="H548" s="3">
        <v>0</v>
      </c>
      <c r="I548" s="3">
        <v>0</v>
      </c>
      <c r="J548" s="3">
        <v>0</v>
      </c>
      <c r="K548" s="3">
        <v>0</v>
      </c>
      <c r="L548" s="3" t="s">
        <v>20</v>
      </c>
      <c r="M548" s="3" t="s">
        <v>76</v>
      </c>
      <c r="N548" s="2"/>
      <c r="O548" s="2"/>
      <c r="P548" s="3" t="str">
        <f>IF(OR(COUNTIF('ثبت لیبل'!$B$11:$B$1010,TRIM(LEFT(C548,FIND("-",C548&amp;"-")-1)))&gt;0,COUNTIF('ثبت لیبل'!$B$11:$B$1010,SUBSTITUTE(TRIM(LEFT(C548,FIND("-",C548&amp;"-")-1)),"GD",""))&gt;0),"موجود","")</f>
        <v/>
      </c>
    </row>
    <row r="549" spans="1:16">
      <c r="A549" s="3">
        <v>548</v>
      </c>
      <c r="B549" s="3" t="s">
        <v>492</v>
      </c>
      <c r="C549" s="3" t="s">
        <v>582</v>
      </c>
      <c r="D549" s="3">
        <v>3.62</v>
      </c>
      <c r="E549" s="3">
        <v>750</v>
      </c>
      <c r="F549" s="3">
        <v>6</v>
      </c>
      <c r="G549" s="3">
        <v>12</v>
      </c>
      <c r="H549" s="3">
        <v>0</v>
      </c>
      <c r="I549" s="3">
        <v>0</v>
      </c>
      <c r="J549" s="3">
        <v>0</v>
      </c>
      <c r="K549" s="3">
        <v>0</v>
      </c>
      <c r="L549" s="3" t="s">
        <v>17</v>
      </c>
      <c r="M549" s="3" t="s">
        <v>18</v>
      </c>
      <c r="N549" s="2"/>
      <c r="O549" s="2"/>
      <c r="P549" s="3" t="str">
        <f>IF(OR(COUNTIF('ثبت لیبل'!$B$11:$B$1010,TRIM(LEFT(C549,FIND("-",C549&amp;"-")-1)))&gt;0,COUNTIF('ثبت لیبل'!$B$11:$B$1010,SUBSTITUTE(TRIM(LEFT(C549,FIND("-",C549&amp;"-")-1)),"GD",""))&gt;0),"موجود","")</f>
        <v/>
      </c>
    </row>
    <row r="550" spans="1:16">
      <c r="A550" s="3">
        <v>549</v>
      </c>
      <c r="B550" s="3" t="s">
        <v>492</v>
      </c>
      <c r="C550" s="3" t="s">
        <v>583</v>
      </c>
      <c r="D550" s="3">
        <v>0.98</v>
      </c>
      <c r="E550" s="3">
        <v>750</v>
      </c>
      <c r="F550" s="3">
        <v>6.5</v>
      </c>
      <c r="G550" s="3">
        <v>12.5</v>
      </c>
      <c r="H550" s="3">
        <v>0</v>
      </c>
      <c r="I550" s="3">
        <v>0</v>
      </c>
      <c r="J550" s="3">
        <v>0</v>
      </c>
      <c r="K550" s="3">
        <v>0</v>
      </c>
      <c r="L550" s="3" t="s">
        <v>17</v>
      </c>
      <c r="M550" s="3" t="s">
        <v>18</v>
      </c>
      <c r="N550" s="2"/>
      <c r="O550" s="2"/>
      <c r="P550" s="3" t="str">
        <f>IF(OR(COUNTIF('ثبت لیبل'!$B$11:$B$1010,TRIM(LEFT(C550,FIND("-",C550&amp;"-")-1)))&gt;0,COUNTIF('ثبت لیبل'!$B$11:$B$1010,SUBSTITUTE(TRIM(LEFT(C550,FIND("-",C550&amp;"-")-1)),"GD",""))&gt;0),"موجود","")</f>
        <v/>
      </c>
    </row>
    <row r="551" spans="1:16">
      <c r="A551" s="3">
        <v>550</v>
      </c>
      <c r="B551" s="3" t="s">
        <v>492</v>
      </c>
      <c r="C551" s="3" t="s">
        <v>584</v>
      </c>
      <c r="D551" s="3">
        <v>2.41</v>
      </c>
      <c r="E551" s="3">
        <v>750</v>
      </c>
      <c r="F551" s="3">
        <v>7.5</v>
      </c>
      <c r="G551" s="3">
        <v>13.5</v>
      </c>
      <c r="H551" s="3">
        <v>0</v>
      </c>
      <c r="I551" s="3">
        <v>0</v>
      </c>
      <c r="J551" s="3">
        <v>0</v>
      </c>
      <c r="K551" s="3">
        <v>0</v>
      </c>
      <c r="L551" s="3" t="s">
        <v>17</v>
      </c>
      <c r="M551" s="3" t="s">
        <v>18</v>
      </c>
      <c r="N551" s="2"/>
      <c r="O551" s="2"/>
      <c r="P551" s="3" t="str">
        <f>IF(OR(COUNTIF('ثبت لیبل'!$B$11:$B$1010,TRIM(LEFT(C551,FIND("-",C551&amp;"-")-1)))&gt;0,COUNTIF('ثبت لیبل'!$B$11:$B$1010,SUBSTITUTE(TRIM(LEFT(C551,FIND("-",C551&amp;"-")-1)),"GD",""))&gt;0),"موجود","")</f>
        <v/>
      </c>
    </row>
    <row r="552" spans="1:16">
      <c r="A552" s="3">
        <v>551</v>
      </c>
      <c r="B552" s="3" t="s">
        <v>492</v>
      </c>
      <c r="C552" s="3" t="s">
        <v>585</v>
      </c>
      <c r="D552" s="3">
        <v>1.71</v>
      </c>
      <c r="E552" s="3">
        <v>750</v>
      </c>
      <c r="F552" s="3">
        <v>13</v>
      </c>
      <c r="G552" s="3">
        <v>19</v>
      </c>
      <c r="H552" s="3">
        <v>0</v>
      </c>
      <c r="I552" s="3">
        <v>0</v>
      </c>
      <c r="J552" s="3">
        <v>0</v>
      </c>
      <c r="K552" s="3">
        <v>0</v>
      </c>
      <c r="L552" s="3" t="s">
        <v>17</v>
      </c>
      <c r="M552" s="3" t="s">
        <v>114</v>
      </c>
      <c r="N552" s="2"/>
      <c r="O552" s="2"/>
      <c r="P552" s="3" t="str">
        <f>IF(OR(COUNTIF('ثبت لیبل'!$B$11:$B$1010,TRIM(LEFT(C552,FIND("-",C552&amp;"-")-1)))&gt;0,COUNTIF('ثبت لیبل'!$B$11:$B$1010,SUBSTITUTE(TRIM(LEFT(C552,FIND("-",C552&amp;"-")-1)),"GD",""))&gt;0),"موجود","")</f>
        <v/>
      </c>
    </row>
    <row r="553" spans="1:16">
      <c r="A553" s="3">
        <v>552</v>
      </c>
      <c r="B553" s="3" t="s">
        <v>232</v>
      </c>
      <c r="C553" s="3" t="s">
        <v>586</v>
      </c>
      <c r="D553" s="3">
        <v>7.0000000000000007E-2</v>
      </c>
      <c r="E553" s="3">
        <v>750</v>
      </c>
      <c r="F553" s="3">
        <v>0</v>
      </c>
      <c r="G553" s="3">
        <v>0</v>
      </c>
      <c r="H553" s="3">
        <v>0</v>
      </c>
      <c r="I553" s="3">
        <v>0</v>
      </c>
      <c r="J553" s="4">
        <v>440000</v>
      </c>
      <c r="K553" s="4">
        <v>968000</v>
      </c>
      <c r="L553" s="3" t="s">
        <v>17</v>
      </c>
      <c r="M553" s="3" t="s">
        <v>587</v>
      </c>
      <c r="N553" s="2"/>
      <c r="O553" s="2"/>
      <c r="P553" s="3" t="str">
        <f>IF(OR(COUNTIF('ثبت لیبل'!$B$11:$B$1010,TRIM(LEFT(C553,FIND("-",C553&amp;"-")-1)))&gt;0,COUNTIF('ثبت لیبل'!$B$11:$B$1010,SUBSTITUTE(TRIM(LEFT(C553,FIND("-",C553&amp;"-")-1)),"GD",""))&gt;0),"موجود","")</f>
        <v/>
      </c>
    </row>
    <row r="554" spans="1:16">
      <c r="A554" s="3">
        <v>553</v>
      </c>
      <c r="B554" s="3" t="s">
        <v>232</v>
      </c>
      <c r="C554" s="3" t="s">
        <v>588</v>
      </c>
      <c r="D554" s="3">
        <v>7.0000000000000007E-2</v>
      </c>
      <c r="E554" s="3">
        <v>750</v>
      </c>
      <c r="F554" s="3">
        <v>0</v>
      </c>
      <c r="G554" s="3">
        <v>0</v>
      </c>
      <c r="H554" s="3">
        <v>0</v>
      </c>
      <c r="I554" s="3">
        <v>0</v>
      </c>
      <c r="J554" s="4">
        <v>440000</v>
      </c>
      <c r="K554" s="4">
        <v>968000</v>
      </c>
      <c r="L554" s="3" t="s">
        <v>17</v>
      </c>
      <c r="M554" s="3" t="s">
        <v>587</v>
      </c>
      <c r="N554" s="2"/>
      <c r="O554" s="2"/>
      <c r="P554" s="3" t="str">
        <f>IF(OR(COUNTIF('ثبت لیبل'!$B$11:$B$1010,TRIM(LEFT(C554,FIND("-",C554&amp;"-")-1)))&gt;0,COUNTIF('ثبت لیبل'!$B$11:$B$1010,SUBSTITUTE(TRIM(LEFT(C554,FIND("-",C554&amp;"-")-1)),"GD",""))&gt;0),"موجود","")</f>
        <v/>
      </c>
    </row>
    <row r="555" spans="1:16">
      <c r="A555" s="3">
        <v>554</v>
      </c>
      <c r="B555" s="3" t="s">
        <v>232</v>
      </c>
      <c r="C555" s="3" t="s">
        <v>589</v>
      </c>
      <c r="D555" s="3">
        <v>0.04</v>
      </c>
      <c r="E555" s="3">
        <v>750</v>
      </c>
      <c r="F555" s="3">
        <v>0</v>
      </c>
      <c r="G555" s="3">
        <v>0</v>
      </c>
      <c r="H555" s="3">
        <v>0</v>
      </c>
      <c r="I555" s="3">
        <v>0</v>
      </c>
      <c r="J555" s="4">
        <v>440000</v>
      </c>
      <c r="K555" s="4">
        <v>968000</v>
      </c>
      <c r="L555" s="3" t="s">
        <v>17</v>
      </c>
      <c r="M555" s="3" t="s">
        <v>587</v>
      </c>
      <c r="N555" s="2"/>
      <c r="O555" s="2"/>
      <c r="P555" s="3" t="str">
        <f>IF(OR(COUNTIF('ثبت لیبل'!$B$11:$B$1010,TRIM(LEFT(C555,FIND("-",C555&amp;"-")-1)))&gt;0,COUNTIF('ثبت لیبل'!$B$11:$B$1010,SUBSTITUTE(TRIM(LEFT(C555,FIND("-",C555&amp;"-")-1)),"GD",""))&gt;0),"موجود","")</f>
        <v/>
      </c>
    </row>
    <row r="556" spans="1:16">
      <c r="A556" s="3">
        <v>555</v>
      </c>
      <c r="B556" s="3" t="s">
        <v>232</v>
      </c>
      <c r="C556" s="3" t="s">
        <v>590</v>
      </c>
      <c r="D556" s="3">
        <v>0.04</v>
      </c>
      <c r="E556" s="3">
        <v>750</v>
      </c>
      <c r="F556" s="3">
        <v>0</v>
      </c>
      <c r="G556" s="3">
        <v>0</v>
      </c>
      <c r="H556" s="3">
        <v>0</v>
      </c>
      <c r="I556" s="3">
        <v>0</v>
      </c>
      <c r="J556" s="4">
        <v>440000</v>
      </c>
      <c r="K556" s="4">
        <v>968000</v>
      </c>
      <c r="L556" s="3" t="s">
        <v>17</v>
      </c>
      <c r="M556" s="3" t="s">
        <v>587</v>
      </c>
      <c r="N556" s="2"/>
      <c r="O556" s="2"/>
      <c r="P556" s="3" t="str">
        <f>IF(OR(COUNTIF('ثبت لیبل'!$B$11:$B$1010,TRIM(LEFT(C556,FIND("-",C556&amp;"-")-1)))&gt;0,COUNTIF('ثبت لیبل'!$B$11:$B$1010,SUBSTITUTE(TRIM(LEFT(C556,FIND("-",C556&amp;"-")-1)),"GD",""))&gt;0),"موجود","")</f>
        <v/>
      </c>
    </row>
    <row r="557" spans="1:16">
      <c r="A557" s="3">
        <v>556</v>
      </c>
      <c r="B557" s="3" t="s">
        <v>232</v>
      </c>
      <c r="C557" s="3" t="s">
        <v>591</v>
      </c>
      <c r="D557" s="3">
        <v>0.04</v>
      </c>
      <c r="E557" s="3">
        <v>750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 t="s">
        <v>17</v>
      </c>
      <c r="M557" s="3" t="s">
        <v>587</v>
      </c>
      <c r="N557" s="2"/>
      <c r="O557" s="2"/>
      <c r="P557" s="3" t="str">
        <f>IF(OR(COUNTIF('ثبت لیبل'!$B$11:$B$1010,TRIM(LEFT(C557,FIND("-",C557&amp;"-")-1)))&gt;0,COUNTIF('ثبت لیبل'!$B$11:$B$1010,SUBSTITUTE(TRIM(LEFT(C557,FIND("-",C557&amp;"-")-1)),"GD",""))&gt;0),"موجود","")</f>
        <v/>
      </c>
    </row>
    <row r="558" spans="1:16">
      <c r="A558" s="3">
        <v>557</v>
      </c>
      <c r="B558" s="3" t="s">
        <v>232</v>
      </c>
      <c r="C558" s="3" t="s">
        <v>592</v>
      </c>
      <c r="D558" s="3">
        <v>0.04</v>
      </c>
      <c r="E558" s="3">
        <v>750</v>
      </c>
      <c r="F558" s="3">
        <v>0</v>
      </c>
      <c r="G558" s="3">
        <v>0</v>
      </c>
      <c r="H558" s="3">
        <v>0</v>
      </c>
      <c r="I558" s="3">
        <v>0</v>
      </c>
      <c r="J558" s="4">
        <v>440000</v>
      </c>
      <c r="K558" s="4">
        <v>968000</v>
      </c>
      <c r="L558" s="3" t="s">
        <v>17</v>
      </c>
      <c r="M558" s="3" t="s">
        <v>587</v>
      </c>
      <c r="N558" s="2"/>
      <c r="O558" s="2"/>
      <c r="P558" s="3" t="str">
        <f>IF(OR(COUNTIF('ثبت لیبل'!$B$11:$B$1010,TRIM(LEFT(C558,FIND("-",C558&amp;"-")-1)))&gt;0,COUNTIF('ثبت لیبل'!$B$11:$B$1010,SUBSTITUTE(TRIM(LEFT(C558,FIND("-",C558&amp;"-")-1)),"GD",""))&gt;0),"موجود","")</f>
        <v/>
      </c>
    </row>
    <row r="559" spans="1:16">
      <c r="A559" s="3">
        <v>558</v>
      </c>
      <c r="B559" s="3" t="s">
        <v>232</v>
      </c>
      <c r="C559" s="3" t="s">
        <v>593</v>
      </c>
      <c r="D559" s="3">
        <v>0.04</v>
      </c>
      <c r="E559" s="3">
        <v>750</v>
      </c>
      <c r="F559" s="3">
        <v>0</v>
      </c>
      <c r="G559" s="3">
        <v>0</v>
      </c>
      <c r="H559" s="3">
        <v>0</v>
      </c>
      <c r="I559" s="3">
        <v>0</v>
      </c>
      <c r="J559" s="4">
        <v>440000</v>
      </c>
      <c r="K559" s="4">
        <v>968000</v>
      </c>
      <c r="L559" s="3" t="s">
        <v>17</v>
      </c>
      <c r="M559" s="3" t="s">
        <v>587</v>
      </c>
      <c r="N559" s="2"/>
      <c r="O559" s="2"/>
      <c r="P559" s="3" t="str">
        <f>IF(OR(COUNTIF('ثبت لیبل'!$B$11:$B$1010,TRIM(LEFT(C559,FIND("-",C559&amp;"-")-1)))&gt;0,COUNTIF('ثبت لیبل'!$B$11:$B$1010,SUBSTITUTE(TRIM(LEFT(C559,FIND("-",C559&amp;"-")-1)),"GD",""))&gt;0),"موجود","")</f>
        <v/>
      </c>
    </row>
    <row r="560" spans="1:16">
      <c r="A560" s="3">
        <v>559</v>
      </c>
      <c r="B560" s="3" t="s">
        <v>232</v>
      </c>
      <c r="C560" s="3" t="s">
        <v>594</v>
      </c>
      <c r="D560" s="3">
        <v>0.1</v>
      </c>
      <c r="E560" s="3">
        <v>750</v>
      </c>
      <c r="F560" s="3">
        <v>0</v>
      </c>
      <c r="G560" s="3">
        <v>0</v>
      </c>
      <c r="H560" s="3">
        <v>0</v>
      </c>
      <c r="I560" s="3">
        <v>0</v>
      </c>
      <c r="J560" s="4">
        <v>440000</v>
      </c>
      <c r="K560" s="4">
        <v>968000</v>
      </c>
      <c r="L560" s="3" t="s">
        <v>17</v>
      </c>
      <c r="M560" s="3" t="s">
        <v>587</v>
      </c>
      <c r="N560" s="2"/>
      <c r="O560" s="2"/>
      <c r="P560" s="3" t="str">
        <f>IF(OR(COUNTIF('ثبت لیبل'!$B$11:$B$1010,TRIM(LEFT(C560,FIND("-",C560&amp;"-")-1)))&gt;0,COUNTIF('ثبت لیبل'!$B$11:$B$1010,SUBSTITUTE(TRIM(LEFT(C560,FIND("-",C560&amp;"-")-1)),"GD",""))&gt;0),"موجود","")</f>
        <v/>
      </c>
    </row>
    <row r="561" spans="1:16">
      <c r="A561" s="3">
        <v>560</v>
      </c>
      <c r="B561" s="3" t="s">
        <v>232</v>
      </c>
      <c r="C561" s="3" t="s">
        <v>595</v>
      </c>
      <c r="D561" s="3">
        <v>7.0000000000000007E-2</v>
      </c>
      <c r="E561" s="3">
        <v>750</v>
      </c>
      <c r="F561" s="3">
        <v>0</v>
      </c>
      <c r="G561" s="3">
        <v>0</v>
      </c>
      <c r="H561" s="3">
        <v>0</v>
      </c>
      <c r="I561" s="3">
        <v>0</v>
      </c>
      <c r="J561" s="4">
        <v>440000</v>
      </c>
      <c r="K561" s="4">
        <v>968000</v>
      </c>
      <c r="L561" s="3" t="s">
        <v>17</v>
      </c>
      <c r="M561" s="3" t="s">
        <v>587</v>
      </c>
      <c r="N561" s="2"/>
      <c r="O561" s="2"/>
      <c r="P561" s="3" t="str">
        <f>IF(OR(COUNTIF('ثبت لیبل'!$B$11:$B$1010,TRIM(LEFT(C561,FIND("-",C561&amp;"-")-1)))&gt;0,COUNTIF('ثبت لیبل'!$B$11:$B$1010,SUBSTITUTE(TRIM(LEFT(C561,FIND("-",C561&amp;"-")-1)),"GD",""))&gt;0),"موجود","")</f>
        <v/>
      </c>
    </row>
    <row r="562" spans="1:16">
      <c r="A562" s="3">
        <v>561</v>
      </c>
      <c r="B562" s="3" t="s">
        <v>232</v>
      </c>
      <c r="C562" s="3" t="s">
        <v>596</v>
      </c>
      <c r="D562" s="3">
        <v>0.04</v>
      </c>
      <c r="E562" s="3">
        <v>750</v>
      </c>
      <c r="F562" s="3">
        <v>0</v>
      </c>
      <c r="G562" s="3">
        <v>0</v>
      </c>
      <c r="H562" s="3">
        <v>0</v>
      </c>
      <c r="I562" s="3">
        <v>0</v>
      </c>
      <c r="J562" s="4">
        <v>440000</v>
      </c>
      <c r="K562" s="4">
        <v>968000</v>
      </c>
      <c r="L562" s="3" t="s">
        <v>17</v>
      </c>
      <c r="M562" s="3" t="s">
        <v>587</v>
      </c>
      <c r="N562" s="2"/>
      <c r="O562" s="2"/>
      <c r="P562" s="3" t="str">
        <f>IF(OR(COUNTIF('ثبت لیبل'!$B$11:$B$1010,TRIM(LEFT(C562,FIND("-",C562&amp;"-")-1)))&gt;0,COUNTIF('ثبت لیبل'!$B$11:$B$1010,SUBSTITUTE(TRIM(LEFT(C562,FIND("-",C562&amp;"-")-1)),"GD",""))&gt;0),"موجود","")</f>
        <v/>
      </c>
    </row>
    <row r="563" spans="1:16">
      <c r="A563" s="3">
        <v>562</v>
      </c>
      <c r="B563" s="3" t="s">
        <v>232</v>
      </c>
      <c r="C563" s="3" t="s">
        <v>597</v>
      </c>
      <c r="D563" s="3">
        <v>0.04</v>
      </c>
      <c r="E563" s="3">
        <v>750</v>
      </c>
      <c r="F563" s="3">
        <v>0</v>
      </c>
      <c r="G563" s="3">
        <v>0</v>
      </c>
      <c r="H563" s="3">
        <v>0</v>
      </c>
      <c r="I563" s="3">
        <v>0</v>
      </c>
      <c r="J563" s="4">
        <v>440000</v>
      </c>
      <c r="K563" s="4">
        <v>968000</v>
      </c>
      <c r="L563" s="3" t="s">
        <v>17</v>
      </c>
      <c r="M563" s="3" t="s">
        <v>587</v>
      </c>
      <c r="N563" s="2"/>
      <c r="O563" s="2"/>
      <c r="P563" s="3" t="str">
        <f>IF(OR(COUNTIF('ثبت لیبل'!$B$11:$B$1010,TRIM(LEFT(C563,FIND("-",C563&amp;"-")-1)))&gt;0,COUNTIF('ثبت لیبل'!$B$11:$B$1010,SUBSTITUTE(TRIM(LEFT(C563,FIND("-",C563&amp;"-")-1)),"GD",""))&gt;0),"موجود","")</f>
        <v/>
      </c>
    </row>
    <row r="564" spans="1:16">
      <c r="A564" s="3">
        <v>563</v>
      </c>
      <c r="B564" s="3" t="s">
        <v>232</v>
      </c>
      <c r="C564" s="3" t="s">
        <v>598</v>
      </c>
      <c r="D564" s="3">
        <v>0.04</v>
      </c>
      <c r="E564" s="3">
        <v>750</v>
      </c>
      <c r="F564" s="3">
        <v>0</v>
      </c>
      <c r="G564" s="3">
        <v>0</v>
      </c>
      <c r="H564" s="3">
        <v>0</v>
      </c>
      <c r="I564" s="3">
        <v>0</v>
      </c>
      <c r="J564" s="4">
        <v>440000</v>
      </c>
      <c r="K564" s="4">
        <v>968000</v>
      </c>
      <c r="L564" s="3" t="s">
        <v>17</v>
      </c>
      <c r="M564" s="3" t="s">
        <v>587</v>
      </c>
      <c r="N564" s="2"/>
      <c r="O564" s="2"/>
      <c r="P564" s="3" t="str">
        <f>IF(OR(COUNTIF('ثبت لیبل'!$B$11:$B$1010,TRIM(LEFT(C564,FIND("-",C564&amp;"-")-1)))&gt;0,COUNTIF('ثبت لیبل'!$B$11:$B$1010,SUBSTITUTE(TRIM(LEFT(C564,FIND("-",C564&amp;"-")-1)),"GD",""))&gt;0),"موجود","")</f>
        <v/>
      </c>
    </row>
    <row r="565" spans="1:16">
      <c r="A565" s="3">
        <v>564</v>
      </c>
      <c r="B565" s="3" t="s">
        <v>15</v>
      </c>
      <c r="C565" s="3" t="s">
        <v>599</v>
      </c>
      <c r="D565" s="3">
        <v>1.66</v>
      </c>
      <c r="E565" s="3">
        <v>750</v>
      </c>
      <c r="F565" s="3">
        <v>17</v>
      </c>
      <c r="G565" s="3">
        <v>17</v>
      </c>
      <c r="H565" s="3">
        <v>0</v>
      </c>
      <c r="I565" s="3">
        <v>0</v>
      </c>
      <c r="J565" s="3">
        <v>0</v>
      </c>
      <c r="K565" s="3">
        <v>0</v>
      </c>
      <c r="L565" s="3" t="s">
        <v>17</v>
      </c>
      <c r="M565" s="3" t="s">
        <v>18</v>
      </c>
      <c r="N565" s="2"/>
      <c r="O565" s="2"/>
      <c r="P565" s="3" t="str">
        <f>IF(OR(COUNTIF('ثبت لیبل'!$B$11:$B$1010,TRIM(LEFT(C565,FIND("-",C565&amp;"-")-1)))&gt;0,COUNTIF('ثبت لیبل'!$B$11:$B$1010,SUBSTITUTE(TRIM(LEFT(C565,FIND("-",C565&amp;"-")-1)),"GD",""))&gt;0),"موجود","")</f>
        <v/>
      </c>
    </row>
    <row r="566" spans="1:16">
      <c r="A566" s="3">
        <v>565</v>
      </c>
      <c r="B566" s="3" t="s">
        <v>15</v>
      </c>
      <c r="C566" s="3" t="s">
        <v>600</v>
      </c>
      <c r="D566" s="3">
        <v>0.61</v>
      </c>
      <c r="E566" s="3">
        <v>750</v>
      </c>
      <c r="F566" s="3">
        <v>13</v>
      </c>
      <c r="G566" s="3">
        <v>13</v>
      </c>
      <c r="H566" s="3">
        <v>0</v>
      </c>
      <c r="I566" s="3">
        <v>0</v>
      </c>
      <c r="J566" s="3">
        <v>0</v>
      </c>
      <c r="K566" s="3">
        <v>0</v>
      </c>
      <c r="L566" s="3" t="s">
        <v>17</v>
      </c>
      <c r="M566" s="3" t="s">
        <v>21</v>
      </c>
      <c r="N566" s="2"/>
      <c r="O566" s="2"/>
      <c r="P566" s="3" t="str">
        <f>IF(OR(COUNTIF('ثبت لیبل'!$B$11:$B$1010,TRIM(LEFT(C566,FIND("-",C566&amp;"-")-1)))&gt;0,COUNTIF('ثبت لیبل'!$B$11:$B$1010,SUBSTITUTE(TRIM(LEFT(C566,FIND("-",C566&amp;"-")-1)),"GD",""))&gt;0),"موجود","")</f>
        <v/>
      </c>
    </row>
    <row r="567" spans="1:16">
      <c r="A567" s="3">
        <v>566</v>
      </c>
      <c r="B567" s="3" t="s">
        <v>15</v>
      </c>
      <c r="C567" s="3" t="s">
        <v>601</v>
      </c>
      <c r="D567" s="3">
        <v>0.6</v>
      </c>
      <c r="E567" s="3">
        <v>750</v>
      </c>
      <c r="F567" s="3">
        <v>13</v>
      </c>
      <c r="G567" s="3">
        <v>13</v>
      </c>
      <c r="H567" s="3">
        <v>0</v>
      </c>
      <c r="I567" s="3">
        <v>0</v>
      </c>
      <c r="J567" s="3">
        <v>0</v>
      </c>
      <c r="K567" s="3">
        <v>0</v>
      </c>
      <c r="L567" s="3" t="s">
        <v>17</v>
      </c>
      <c r="M567" s="3" t="s">
        <v>21</v>
      </c>
      <c r="N567" s="2"/>
      <c r="O567" s="2"/>
      <c r="P567" s="3" t="str">
        <f>IF(OR(COUNTIF('ثبت لیبل'!$B$11:$B$1010,TRIM(LEFT(C567,FIND("-",C567&amp;"-")-1)))&gt;0,COUNTIF('ثبت لیبل'!$B$11:$B$1010,SUBSTITUTE(TRIM(LEFT(C567,FIND("-",C567&amp;"-")-1)),"GD",""))&gt;0),"موجود","")</f>
        <v/>
      </c>
    </row>
    <row r="568" spans="1:16">
      <c r="A568" s="3">
        <v>567</v>
      </c>
      <c r="B568" s="3" t="s">
        <v>15</v>
      </c>
      <c r="C568" s="3" t="s">
        <v>602</v>
      </c>
      <c r="D568" s="3">
        <v>1.42</v>
      </c>
      <c r="E568" s="3">
        <v>750</v>
      </c>
      <c r="F568" s="3">
        <v>13</v>
      </c>
      <c r="G568" s="3">
        <v>13</v>
      </c>
      <c r="H568" s="3">
        <v>0</v>
      </c>
      <c r="I568" s="3">
        <v>0</v>
      </c>
      <c r="J568" s="3">
        <v>0</v>
      </c>
      <c r="K568" s="3">
        <v>0</v>
      </c>
      <c r="L568" s="3" t="s">
        <v>17</v>
      </c>
      <c r="M568" s="3" t="s">
        <v>18</v>
      </c>
      <c r="N568" s="2"/>
      <c r="O568" s="2"/>
      <c r="P568" s="3" t="str">
        <f>IF(OR(COUNTIF('ثبت لیبل'!$B$11:$B$1010,TRIM(LEFT(C568,FIND("-",C568&amp;"-")-1)))&gt;0,COUNTIF('ثبت لیبل'!$B$11:$B$1010,SUBSTITUTE(TRIM(LEFT(C568,FIND("-",C568&amp;"-")-1)),"GD",""))&gt;0),"موجود","")</f>
        <v/>
      </c>
    </row>
    <row r="569" spans="1:16">
      <c r="A569" s="3">
        <v>568</v>
      </c>
      <c r="B569" s="3" t="s">
        <v>15</v>
      </c>
      <c r="C569" s="3" t="s">
        <v>603</v>
      </c>
      <c r="D569" s="3">
        <v>0.96</v>
      </c>
      <c r="E569" s="3">
        <v>750</v>
      </c>
      <c r="F569" s="3">
        <v>13</v>
      </c>
      <c r="G569" s="3">
        <v>13</v>
      </c>
      <c r="H569" s="3">
        <v>0</v>
      </c>
      <c r="I569" s="3">
        <v>0</v>
      </c>
      <c r="J569" s="3">
        <v>0</v>
      </c>
      <c r="K569" s="3">
        <v>0</v>
      </c>
      <c r="L569" s="3" t="s">
        <v>17</v>
      </c>
      <c r="M569" s="3" t="s">
        <v>114</v>
      </c>
      <c r="N569" s="2"/>
      <c r="O569" s="2"/>
      <c r="P569" s="3" t="str">
        <f>IF(OR(COUNTIF('ثبت لیبل'!$B$11:$B$1010,TRIM(LEFT(C569,FIND("-",C569&amp;"-")-1)))&gt;0,COUNTIF('ثبت لیبل'!$B$11:$B$1010,SUBSTITUTE(TRIM(LEFT(C569,FIND("-",C569&amp;"-")-1)),"GD",""))&gt;0),"موجود","")</f>
        <v/>
      </c>
    </row>
    <row r="570" spans="1:16">
      <c r="A570" s="3">
        <v>569</v>
      </c>
      <c r="B570" s="3" t="s">
        <v>15</v>
      </c>
      <c r="C570" s="3" t="s">
        <v>604</v>
      </c>
      <c r="D570" s="3">
        <v>1.78</v>
      </c>
      <c r="E570" s="3">
        <v>750</v>
      </c>
      <c r="F570" s="3">
        <v>17</v>
      </c>
      <c r="G570" s="3">
        <v>17</v>
      </c>
      <c r="H570" s="3">
        <v>0</v>
      </c>
      <c r="I570" s="3">
        <v>0</v>
      </c>
      <c r="J570" s="3">
        <v>0</v>
      </c>
      <c r="K570" s="3">
        <v>0</v>
      </c>
      <c r="L570" s="3" t="s">
        <v>170</v>
      </c>
      <c r="M570" s="3" t="s">
        <v>76</v>
      </c>
      <c r="N570" s="2"/>
      <c r="O570" s="2"/>
      <c r="P570" s="3" t="str">
        <f>IF(OR(COUNTIF('ثبت لیبل'!$B$11:$B$1010,TRIM(LEFT(C570,FIND("-",C570&amp;"-")-1)))&gt;0,COUNTIF('ثبت لیبل'!$B$11:$B$1010,SUBSTITUTE(TRIM(LEFT(C570,FIND("-",C570&amp;"-")-1)),"GD",""))&gt;0),"موجود","")</f>
        <v/>
      </c>
    </row>
    <row r="571" spans="1:16">
      <c r="A571" s="3">
        <v>570</v>
      </c>
      <c r="B571" s="3" t="s">
        <v>15</v>
      </c>
      <c r="C571" s="3" t="s">
        <v>605</v>
      </c>
      <c r="D571" s="3">
        <v>0.24</v>
      </c>
      <c r="E571" s="3">
        <v>750</v>
      </c>
      <c r="F571" s="3">
        <v>6</v>
      </c>
      <c r="G571" s="3">
        <v>6</v>
      </c>
      <c r="H571" s="3">
        <v>0</v>
      </c>
      <c r="I571" s="3">
        <v>0</v>
      </c>
      <c r="J571" s="4">
        <v>5940000</v>
      </c>
      <c r="K571" s="4">
        <v>5940000</v>
      </c>
      <c r="L571" s="3" t="s">
        <v>17</v>
      </c>
      <c r="M571" s="3" t="s">
        <v>46</v>
      </c>
      <c r="N571" s="2"/>
      <c r="O571" s="2"/>
      <c r="P571" s="3" t="str">
        <f>IF(OR(COUNTIF('ثبت لیبل'!$B$11:$B$1010,TRIM(LEFT(C571,FIND("-",C571&amp;"-")-1)))&gt;0,COUNTIF('ثبت لیبل'!$B$11:$B$1010,SUBSTITUTE(TRIM(LEFT(C571,FIND("-",C571&amp;"-")-1)),"GD",""))&gt;0),"موجود","")</f>
        <v/>
      </c>
    </row>
    <row r="572" spans="1:16">
      <c r="A572" s="3">
        <v>571</v>
      </c>
      <c r="B572" s="3" t="s">
        <v>15</v>
      </c>
      <c r="C572" s="3" t="s">
        <v>606</v>
      </c>
      <c r="D572" s="3">
        <v>0.24</v>
      </c>
      <c r="E572" s="3">
        <v>750</v>
      </c>
      <c r="F572" s="3">
        <v>6</v>
      </c>
      <c r="G572" s="3">
        <v>6</v>
      </c>
      <c r="H572" s="3">
        <v>0</v>
      </c>
      <c r="I572" s="3">
        <v>0</v>
      </c>
      <c r="J572" s="4">
        <v>5940000</v>
      </c>
      <c r="K572" s="4">
        <v>5940000</v>
      </c>
      <c r="L572" s="3" t="s">
        <v>17</v>
      </c>
      <c r="M572" s="3" t="s">
        <v>46</v>
      </c>
      <c r="N572" s="2"/>
      <c r="O572" s="2"/>
      <c r="P572" s="3" t="str">
        <f>IF(OR(COUNTIF('ثبت لیبل'!$B$11:$B$1010,TRIM(LEFT(C572,FIND("-",C572&amp;"-")-1)))&gt;0,COUNTIF('ثبت لیبل'!$B$11:$B$1010,SUBSTITUTE(TRIM(LEFT(C572,FIND("-",C572&amp;"-")-1)),"GD",""))&gt;0),"موجود","")</f>
        <v/>
      </c>
    </row>
    <row r="573" spans="1:16">
      <c r="A573" s="3">
        <v>572</v>
      </c>
      <c r="B573" s="3" t="s">
        <v>15</v>
      </c>
      <c r="C573" s="3" t="s">
        <v>607</v>
      </c>
      <c r="D573" s="3">
        <v>1.58</v>
      </c>
      <c r="E573" s="3">
        <v>750</v>
      </c>
      <c r="F573" s="3">
        <v>13</v>
      </c>
      <c r="G573" s="3">
        <v>13</v>
      </c>
      <c r="H573" s="3">
        <v>0</v>
      </c>
      <c r="I573" s="3">
        <v>0</v>
      </c>
      <c r="J573" s="3">
        <v>0</v>
      </c>
      <c r="K573" s="3">
        <v>0</v>
      </c>
      <c r="L573" s="3" t="s">
        <v>17</v>
      </c>
      <c r="M573" s="3" t="s">
        <v>46</v>
      </c>
      <c r="N573" s="2"/>
      <c r="O573" s="2"/>
      <c r="P573" s="3" t="str">
        <f>IF(OR(COUNTIF('ثبت لیبل'!$B$11:$B$1010,TRIM(LEFT(C573,FIND("-",C573&amp;"-")-1)))&gt;0,COUNTIF('ثبت لیبل'!$B$11:$B$1010,SUBSTITUTE(TRIM(LEFT(C573,FIND("-",C573&amp;"-")-1)),"GD",""))&gt;0),"موجود","")</f>
        <v/>
      </c>
    </row>
    <row r="574" spans="1:16">
      <c r="A574" s="3">
        <v>573</v>
      </c>
      <c r="B574" s="3" t="s">
        <v>15</v>
      </c>
      <c r="C574" s="3" t="s">
        <v>608</v>
      </c>
      <c r="D574" s="3">
        <v>1.1100000000000001</v>
      </c>
      <c r="E574" s="3">
        <v>750</v>
      </c>
      <c r="F574" s="3">
        <v>13</v>
      </c>
      <c r="G574" s="3">
        <v>13</v>
      </c>
      <c r="H574" s="3">
        <v>0</v>
      </c>
      <c r="I574" s="3">
        <v>0</v>
      </c>
      <c r="J574" s="3">
        <v>0</v>
      </c>
      <c r="K574" s="3">
        <v>0</v>
      </c>
      <c r="L574" s="3" t="s">
        <v>17</v>
      </c>
      <c r="M574" s="3" t="s">
        <v>46</v>
      </c>
      <c r="N574" s="2"/>
      <c r="O574" s="2"/>
      <c r="P574" s="3" t="str">
        <f>IF(OR(COUNTIF('ثبت لیبل'!$B$11:$B$1010,TRIM(LEFT(C574,FIND("-",C574&amp;"-")-1)))&gt;0,COUNTIF('ثبت لیبل'!$B$11:$B$1010,SUBSTITUTE(TRIM(LEFT(C574,FIND("-",C574&amp;"-")-1)),"GD",""))&gt;0),"موجود","")</f>
        <v/>
      </c>
    </row>
    <row r="575" spans="1:16">
      <c r="A575" s="3">
        <v>574</v>
      </c>
      <c r="B575" s="3" t="s">
        <v>15</v>
      </c>
      <c r="C575" s="3" t="s">
        <v>609</v>
      </c>
      <c r="D575" s="3">
        <v>1.1599999999999999</v>
      </c>
      <c r="E575" s="3">
        <v>750</v>
      </c>
      <c r="F575" s="3">
        <v>17</v>
      </c>
      <c r="G575" s="3">
        <v>17</v>
      </c>
      <c r="H575" s="3">
        <v>0</v>
      </c>
      <c r="I575" s="3">
        <v>0</v>
      </c>
      <c r="J575" s="3">
        <v>0</v>
      </c>
      <c r="K575" s="3">
        <v>0</v>
      </c>
      <c r="L575" s="3" t="s">
        <v>170</v>
      </c>
      <c r="M575" s="3" t="s">
        <v>76</v>
      </c>
      <c r="N575" s="2"/>
      <c r="O575" s="2"/>
      <c r="P575" s="3" t="str">
        <f>IF(OR(COUNTIF('ثبت لیبل'!$B$11:$B$1010,TRIM(LEFT(C575,FIND("-",C575&amp;"-")-1)))&gt;0,COUNTIF('ثبت لیبل'!$B$11:$B$1010,SUBSTITUTE(TRIM(LEFT(C575,FIND("-",C575&amp;"-")-1)),"GD",""))&gt;0),"موجود","")</f>
        <v/>
      </c>
    </row>
    <row r="576" spans="1:16">
      <c r="A576" s="3">
        <v>575</v>
      </c>
      <c r="B576" s="3" t="s">
        <v>232</v>
      </c>
      <c r="C576" s="3" t="s">
        <v>610</v>
      </c>
      <c r="D576" s="3">
        <v>2</v>
      </c>
      <c r="E576" s="3">
        <v>750</v>
      </c>
      <c r="F576" s="3">
        <v>0</v>
      </c>
      <c r="G576" s="3">
        <v>0</v>
      </c>
      <c r="H576" s="3">
        <v>0</v>
      </c>
      <c r="I576" s="3">
        <v>0</v>
      </c>
      <c r="J576" s="4">
        <v>440000</v>
      </c>
      <c r="K576" s="4">
        <v>440000</v>
      </c>
      <c r="L576" s="2"/>
      <c r="M576" s="3" t="s">
        <v>587</v>
      </c>
      <c r="N576" s="2"/>
      <c r="O576" s="2"/>
      <c r="P576" s="3" t="str">
        <f>IF(OR(COUNTIF('ثبت لیبل'!$B$11:$B$1010,TRIM(LEFT(C576,FIND("-",C576&amp;"-")-1)))&gt;0,COUNTIF('ثبت لیبل'!$B$11:$B$1010,SUBSTITUTE(TRIM(LEFT(C576,FIND("-",C576&amp;"-")-1)),"GD",""))&gt;0),"موجود","")</f>
        <v/>
      </c>
    </row>
    <row r="577" spans="1:16">
      <c r="A577" s="3">
        <v>576</v>
      </c>
      <c r="B577" s="3" t="s">
        <v>15</v>
      </c>
      <c r="C577" s="3" t="s">
        <v>611</v>
      </c>
      <c r="D577" s="3">
        <v>1.46</v>
      </c>
      <c r="E577" s="3">
        <v>750</v>
      </c>
      <c r="F577" s="3">
        <v>14</v>
      </c>
      <c r="G577" s="3">
        <v>14</v>
      </c>
      <c r="H577" s="3">
        <v>0</v>
      </c>
      <c r="I577" s="3">
        <v>0</v>
      </c>
      <c r="J577" s="3">
        <v>0</v>
      </c>
      <c r="K577" s="3">
        <v>0</v>
      </c>
      <c r="L577" s="3" t="s">
        <v>17</v>
      </c>
      <c r="M577" s="3" t="s">
        <v>76</v>
      </c>
      <c r="N577" s="2"/>
      <c r="O577" s="2"/>
      <c r="P577" s="3" t="str">
        <f>IF(OR(COUNTIF('ثبت لیبل'!$B$11:$B$1010,TRIM(LEFT(C577,FIND("-",C577&amp;"-")-1)))&gt;0,COUNTIF('ثبت لیبل'!$B$11:$B$1010,SUBSTITUTE(TRIM(LEFT(C577,FIND("-",C577&amp;"-")-1)),"GD",""))&gt;0),"موجود","")</f>
        <v/>
      </c>
    </row>
    <row r="578" spans="1:16">
      <c r="A578" s="3">
        <v>577</v>
      </c>
      <c r="B578" s="3" t="s">
        <v>15</v>
      </c>
      <c r="C578" s="3" t="s">
        <v>612</v>
      </c>
      <c r="D578" s="3">
        <v>1.35</v>
      </c>
      <c r="E578" s="3">
        <v>750</v>
      </c>
      <c r="F578" s="3">
        <v>14</v>
      </c>
      <c r="G578" s="3">
        <v>14</v>
      </c>
      <c r="H578" s="3">
        <v>0</v>
      </c>
      <c r="I578" s="3">
        <v>0</v>
      </c>
      <c r="J578" s="3">
        <v>0</v>
      </c>
      <c r="K578" s="3">
        <v>0</v>
      </c>
      <c r="L578" s="3" t="s">
        <v>17</v>
      </c>
      <c r="M578" s="3" t="s">
        <v>76</v>
      </c>
      <c r="N578" s="2"/>
      <c r="O578" s="2"/>
      <c r="P578" s="3" t="str">
        <f>IF(OR(COUNTIF('ثبت لیبل'!$B$11:$B$1010,TRIM(LEFT(C578,FIND("-",C578&amp;"-")-1)))&gt;0,COUNTIF('ثبت لیبل'!$B$11:$B$1010,SUBSTITUTE(TRIM(LEFT(C578,FIND("-",C578&amp;"-")-1)),"GD",""))&gt;0),"موجود","")</f>
        <v/>
      </c>
    </row>
    <row r="579" spans="1:16">
      <c r="A579" s="3">
        <v>578</v>
      </c>
      <c r="B579" s="3" t="s">
        <v>15</v>
      </c>
      <c r="C579" s="3" t="s">
        <v>613</v>
      </c>
      <c r="D579" s="3">
        <v>3.28</v>
      </c>
      <c r="E579" s="3">
        <v>750</v>
      </c>
      <c r="F579" s="3">
        <v>14</v>
      </c>
      <c r="G579" s="3">
        <v>14</v>
      </c>
      <c r="H579" s="3">
        <v>0</v>
      </c>
      <c r="I579" s="3">
        <v>0</v>
      </c>
      <c r="J579" s="3">
        <v>0</v>
      </c>
      <c r="K579" s="3">
        <v>0</v>
      </c>
      <c r="L579" s="3" t="s">
        <v>17</v>
      </c>
      <c r="M579" s="3" t="s">
        <v>76</v>
      </c>
      <c r="N579" s="2"/>
      <c r="O579" s="2"/>
      <c r="P579" s="3" t="str">
        <f>IF(OR(COUNTIF('ثبت لیبل'!$B$11:$B$1010,TRIM(LEFT(C579,FIND("-",C579&amp;"-")-1)))&gt;0,COUNTIF('ثبت لیبل'!$B$11:$B$1010,SUBSTITUTE(TRIM(LEFT(C579,FIND("-",C579&amp;"-")-1)),"GD",""))&gt;0),"موجود","")</f>
        <v/>
      </c>
    </row>
    <row r="580" spans="1:16">
      <c r="A580" s="3">
        <v>579</v>
      </c>
      <c r="B580" s="3" t="s">
        <v>232</v>
      </c>
      <c r="C580" s="3" t="s">
        <v>614</v>
      </c>
      <c r="D580" s="3">
        <v>0.5</v>
      </c>
      <c r="E580" s="3">
        <v>750</v>
      </c>
      <c r="F580" s="3">
        <v>0</v>
      </c>
      <c r="G580" s="3">
        <v>0</v>
      </c>
      <c r="H580" s="3">
        <v>0</v>
      </c>
      <c r="I580" s="3">
        <v>0</v>
      </c>
      <c r="J580" s="4">
        <v>440000</v>
      </c>
      <c r="K580" s="4">
        <v>440000</v>
      </c>
      <c r="L580" s="3" t="s">
        <v>17</v>
      </c>
      <c r="M580" s="3" t="s">
        <v>587</v>
      </c>
      <c r="N580" s="2"/>
      <c r="O580" s="2"/>
      <c r="P580" s="3" t="str">
        <f>IF(OR(COUNTIF('ثبت لیبل'!$B$11:$B$1010,TRIM(LEFT(C580,FIND("-",C580&amp;"-")-1)))&gt;0,COUNTIF('ثبت لیبل'!$B$11:$B$1010,SUBSTITUTE(TRIM(LEFT(C580,FIND("-",C580&amp;"-")-1)),"GD",""))&gt;0),"موجود","")</f>
        <v/>
      </c>
    </row>
    <row r="581" spans="1:16">
      <c r="A581" s="3">
        <v>580</v>
      </c>
      <c r="B581" s="3" t="s">
        <v>15</v>
      </c>
      <c r="C581" s="3" t="s">
        <v>615</v>
      </c>
      <c r="D581" s="3">
        <v>1.48</v>
      </c>
      <c r="E581" s="3">
        <v>750</v>
      </c>
      <c r="F581" s="3">
        <v>14</v>
      </c>
      <c r="G581" s="3">
        <v>14</v>
      </c>
      <c r="H581" s="3">
        <v>0</v>
      </c>
      <c r="I581" s="3">
        <v>0</v>
      </c>
      <c r="J581" s="3">
        <v>0</v>
      </c>
      <c r="K581" s="3">
        <v>0</v>
      </c>
      <c r="L581" s="3" t="s">
        <v>17</v>
      </c>
      <c r="M581" s="3" t="s">
        <v>76</v>
      </c>
      <c r="N581" s="2"/>
      <c r="O581" s="2"/>
      <c r="P581" s="3" t="str">
        <f>IF(OR(COUNTIF('ثبت لیبل'!$B$11:$B$1010,TRIM(LEFT(C581,FIND("-",C581&amp;"-")-1)))&gt;0,COUNTIF('ثبت لیبل'!$B$11:$B$1010,SUBSTITUTE(TRIM(LEFT(C581,FIND("-",C581&amp;"-")-1)),"GD",""))&gt;0),"موجود","")</f>
        <v/>
      </c>
    </row>
    <row r="582" spans="1:16">
      <c r="A582" s="3">
        <v>581</v>
      </c>
      <c r="B582" s="3" t="s">
        <v>15</v>
      </c>
      <c r="C582" s="3" t="s">
        <v>616</v>
      </c>
      <c r="D582" s="3">
        <v>1.62</v>
      </c>
      <c r="E582" s="3">
        <v>750</v>
      </c>
      <c r="F582" s="3">
        <v>14</v>
      </c>
      <c r="G582" s="3">
        <v>14</v>
      </c>
      <c r="H582" s="3">
        <v>0</v>
      </c>
      <c r="I582" s="3">
        <v>0</v>
      </c>
      <c r="J582" s="3">
        <v>0</v>
      </c>
      <c r="K582" s="3">
        <v>0</v>
      </c>
      <c r="L582" s="3" t="s">
        <v>17</v>
      </c>
      <c r="M582" s="3" t="s">
        <v>76</v>
      </c>
      <c r="N582" s="2"/>
      <c r="O582" s="2"/>
      <c r="P582" s="3" t="str">
        <f>IF(OR(COUNTIF('ثبت لیبل'!$B$11:$B$1010,TRIM(LEFT(C582,FIND("-",C582&amp;"-")-1)))&gt;0,COUNTIF('ثبت لیبل'!$B$11:$B$1010,SUBSTITUTE(TRIM(LEFT(C582,FIND("-",C582&amp;"-")-1)),"GD",""))&gt;0),"موجود","")</f>
        <v/>
      </c>
    </row>
    <row r="583" spans="1:16">
      <c r="A583" s="3">
        <v>582</v>
      </c>
      <c r="B583" s="3" t="s">
        <v>15</v>
      </c>
      <c r="C583" s="3" t="s">
        <v>617</v>
      </c>
      <c r="D583" s="3">
        <v>2.58</v>
      </c>
      <c r="E583" s="3">
        <v>750</v>
      </c>
      <c r="F583" s="3">
        <v>13</v>
      </c>
      <c r="G583" s="3">
        <v>13</v>
      </c>
      <c r="H583" s="3">
        <v>0</v>
      </c>
      <c r="I583" s="3">
        <v>0</v>
      </c>
      <c r="J583" s="3">
        <v>0</v>
      </c>
      <c r="K583" s="3">
        <v>0</v>
      </c>
      <c r="L583" s="3" t="s">
        <v>17</v>
      </c>
      <c r="M583" s="3" t="s">
        <v>46</v>
      </c>
      <c r="N583" s="2"/>
      <c r="O583" s="2"/>
      <c r="P583" s="3" t="str">
        <f>IF(OR(COUNTIF('ثبت لیبل'!$B$11:$B$1010,TRIM(LEFT(C583,FIND("-",C583&amp;"-")-1)))&gt;0,COUNTIF('ثبت لیبل'!$B$11:$B$1010,SUBSTITUTE(TRIM(LEFT(C583,FIND("-",C583&amp;"-")-1)),"GD",""))&gt;0),"موجود","")</f>
        <v/>
      </c>
    </row>
    <row r="584" spans="1:16">
      <c r="A584" s="3">
        <v>583</v>
      </c>
      <c r="B584" s="3" t="s">
        <v>232</v>
      </c>
      <c r="C584" s="3" t="s">
        <v>618</v>
      </c>
      <c r="D584" s="3">
        <v>0.4</v>
      </c>
      <c r="E584" s="3">
        <v>750</v>
      </c>
      <c r="F584" s="3">
        <v>0</v>
      </c>
      <c r="G584" s="3">
        <v>0</v>
      </c>
      <c r="H584" s="3">
        <v>0</v>
      </c>
      <c r="I584" s="3">
        <v>0</v>
      </c>
      <c r="J584" s="4">
        <v>440000</v>
      </c>
      <c r="K584" s="4">
        <v>440000</v>
      </c>
      <c r="L584" s="3" t="s">
        <v>17</v>
      </c>
      <c r="M584" s="3" t="s">
        <v>587</v>
      </c>
      <c r="N584" s="2"/>
      <c r="O584" s="2"/>
      <c r="P584" s="3" t="str">
        <f>IF(OR(COUNTIF('ثبت لیبل'!$B$11:$B$1010,TRIM(LEFT(C584,FIND("-",C584&amp;"-")-1)))&gt;0,COUNTIF('ثبت لیبل'!$B$11:$B$1010,SUBSTITUTE(TRIM(LEFT(C584,FIND("-",C584&amp;"-")-1)),"GD",""))&gt;0),"موجود","")</f>
        <v/>
      </c>
    </row>
    <row r="585" spans="1:16">
      <c r="A585" s="3">
        <v>584</v>
      </c>
      <c r="B585" s="3" t="s">
        <v>232</v>
      </c>
      <c r="C585" s="3" t="s">
        <v>619</v>
      </c>
      <c r="D585" s="3">
        <v>0.9</v>
      </c>
      <c r="E585" s="3">
        <v>750</v>
      </c>
      <c r="F585" s="3">
        <v>0</v>
      </c>
      <c r="G585" s="3">
        <v>0</v>
      </c>
      <c r="H585" s="3">
        <v>0</v>
      </c>
      <c r="I585" s="3">
        <v>0</v>
      </c>
      <c r="J585" s="4">
        <v>440000</v>
      </c>
      <c r="K585" s="4">
        <v>440000</v>
      </c>
      <c r="L585" s="3" t="s">
        <v>17</v>
      </c>
      <c r="M585" s="3" t="s">
        <v>587</v>
      </c>
      <c r="N585" s="2"/>
      <c r="O585" s="2"/>
      <c r="P585" s="3" t="str">
        <f>IF(OR(COUNTIF('ثبت لیبل'!$B$11:$B$1010,TRIM(LEFT(C585,FIND("-",C585&amp;"-")-1)))&gt;0,COUNTIF('ثبت لیبل'!$B$11:$B$1010,SUBSTITUTE(TRIM(LEFT(C585,FIND("-",C585&amp;"-")-1)),"GD",""))&gt;0),"موجود","")</f>
        <v/>
      </c>
    </row>
    <row r="586" spans="1:16">
      <c r="A586" s="3">
        <v>585</v>
      </c>
      <c r="B586" s="3" t="s">
        <v>15</v>
      </c>
      <c r="C586" s="3" t="s">
        <v>620</v>
      </c>
      <c r="D586" s="3">
        <v>0.76</v>
      </c>
      <c r="E586" s="3">
        <v>750</v>
      </c>
      <c r="F586" s="3">
        <v>11</v>
      </c>
      <c r="G586" s="3">
        <v>11</v>
      </c>
      <c r="H586" s="3">
        <v>0</v>
      </c>
      <c r="I586" s="3">
        <v>0</v>
      </c>
      <c r="J586" s="3">
        <v>0</v>
      </c>
      <c r="K586" s="3">
        <v>0</v>
      </c>
      <c r="L586" s="3" t="s">
        <v>17</v>
      </c>
      <c r="M586" s="3" t="s">
        <v>60</v>
      </c>
      <c r="N586" s="2"/>
      <c r="O586" s="2"/>
      <c r="P586" s="3" t="str">
        <f>IF(OR(COUNTIF('ثبت لیبل'!$B$11:$B$1010,TRIM(LEFT(C586,FIND("-",C586&amp;"-")-1)))&gt;0,COUNTIF('ثبت لیبل'!$B$11:$B$1010,SUBSTITUTE(TRIM(LEFT(C586,FIND("-",C586&amp;"-")-1)),"GD",""))&gt;0),"موجود","")</f>
        <v/>
      </c>
    </row>
    <row r="587" spans="1:16">
      <c r="A587" s="3">
        <v>586</v>
      </c>
      <c r="B587" s="3" t="s">
        <v>15</v>
      </c>
      <c r="C587" s="3" t="s">
        <v>621</v>
      </c>
      <c r="D587" s="3">
        <v>1.43</v>
      </c>
      <c r="E587" s="3">
        <v>750</v>
      </c>
      <c r="F587" s="3">
        <v>12</v>
      </c>
      <c r="G587" s="3">
        <v>12</v>
      </c>
      <c r="H587" s="3">
        <v>0</v>
      </c>
      <c r="I587" s="3">
        <v>0</v>
      </c>
      <c r="J587" s="3">
        <v>0</v>
      </c>
      <c r="K587" s="3">
        <v>0</v>
      </c>
      <c r="L587" s="3" t="s">
        <v>17</v>
      </c>
      <c r="M587" s="3" t="s">
        <v>21</v>
      </c>
      <c r="N587" s="2"/>
      <c r="O587" s="2"/>
      <c r="P587" s="3" t="str">
        <f>IF(OR(COUNTIF('ثبت لیبل'!$B$11:$B$1010,TRIM(LEFT(C587,FIND("-",C587&amp;"-")-1)))&gt;0,COUNTIF('ثبت لیبل'!$B$11:$B$1010,SUBSTITUTE(TRIM(LEFT(C587,FIND("-",C587&amp;"-")-1)),"GD",""))&gt;0),"موجود","")</f>
        <v/>
      </c>
    </row>
    <row r="588" spans="1:16">
      <c r="A588" s="3">
        <v>587</v>
      </c>
      <c r="B588" s="3" t="s">
        <v>15</v>
      </c>
      <c r="C588" s="3" t="s">
        <v>622</v>
      </c>
      <c r="D588" s="3">
        <v>3.45</v>
      </c>
      <c r="E588" s="3">
        <v>750</v>
      </c>
      <c r="F588" s="3">
        <v>10</v>
      </c>
      <c r="G588" s="3">
        <v>10</v>
      </c>
      <c r="H588" s="3">
        <v>0</v>
      </c>
      <c r="I588" s="3">
        <v>0</v>
      </c>
      <c r="J588" s="3">
        <v>0</v>
      </c>
      <c r="K588" s="3">
        <v>0</v>
      </c>
      <c r="L588" s="3" t="s">
        <v>17</v>
      </c>
      <c r="M588" s="3" t="s">
        <v>46</v>
      </c>
      <c r="N588" s="2"/>
      <c r="O588" s="2"/>
      <c r="P588" s="3" t="str">
        <f>IF(OR(COUNTIF('ثبت لیبل'!$B$11:$B$1010,TRIM(LEFT(C588,FIND("-",C588&amp;"-")-1)))&gt;0,COUNTIF('ثبت لیبل'!$B$11:$B$1010,SUBSTITUTE(TRIM(LEFT(C588,FIND("-",C588&amp;"-")-1)),"GD",""))&gt;0),"موجود","")</f>
        <v/>
      </c>
    </row>
    <row r="589" spans="1:16">
      <c r="A589" s="3">
        <v>588</v>
      </c>
      <c r="B589" s="3" t="s">
        <v>232</v>
      </c>
      <c r="C589" s="3" t="s">
        <v>623</v>
      </c>
      <c r="D589" s="3">
        <v>0.8</v>
      </c>
      <c r="E589" s="3">
        <v>750</v>
      </c>
      <c r="F589" s="3">
        <v>0</v>
      </c>
      <c r="G589" s="3">
        <v>0</v>
      </c>
      <c r="H589" s="3">
        <v>0</v>
      </c>
      <c r="I589" s="3">
        <v>0</v>
      </c>
      <c r="J589" s="4">
        <v>440000</v>
      </c>
      <c r="K589" s="4">
        <v>440000</v>
      </c>
      <c r="L589" s="3" t="s">
        <v>17</v>
      </c>
      <c r="M589" s="3" t="s">
        <v>587</v>
      </c>
      <c r="N589" s="2"/>
      <c r="O589" s="2"/>
      <c r="P589" s="3" t="str">
        <f>IF(OR(COUNTIF('ثبت لیبل'!$B$11:$B$1010,TRIM(LEFT(C589,FIND("-",C589&amp;"-")-1)))&gt;0,COUNTIF('ثبت لیبل'!$B$11:$B$1010,SUBSTITUTE(TRIM(LEFT(C589,FIND("-",C589&amp;"-")-1)),"GD",""))&gt;0),"موجود","")</f>
        <v/>
      </c>
    </row>
    <row r="590" spans="1:16">
      <c r="A590" s="3">
        <v>589</v>
      </c>
      <c r="B590" s="3" t="s">
        <v>232</v>
      </c>
      <c r="C590" s="3" t="s">
        <v>624</v>
      </c>
      <c r="D590" s="3">
        <v>0.8</v>
      </c>
      <c r="E590" s="3">
        <v>750</v>
      </c>
      <c r="F590" s="3">
        <v>0</v>
      </c>
      <c r="G590" s="3">
        <v>0</v>
      </c>
      <c r="H590" s="3">
        <v>0</v>
      </c>
      <c r="I590" s="3">
        <v>0</v>
      </c>
      <c r="J590" s="4">
        <v>440000</v>
      </c>
      <c r="K590" s="4">
        <v>440000</v>
      </c>
      <c r="L590" s="3" t="s">
        <v>17</v>
      </c>
      <c r="M590" s="3" t="s">
        <v>587</v>
      </c>
      <c r="N590" s="2"/>
      <c r="O590" s="2"/>
      <c r="P590" s="3" t="str">
        <f>IF(OR(COUNTIF('ثبت لیبل'!$B$11:$B$1010,TRIM(LEFT(C590,FIND("-",C590&amp;"-")-1)))&gt;0,COUNTIF('ثبت لیبل'!$B$11:$B$1010,SUBSTITUTE(TRIM(LEFT(C590,FIND("-",C590&amp;"-")-1)),"GD",""))&gt;0),"موجود","")</f>
        <v/>
      </c>
    </row>
    <row r="591" spans="1:16">
      <c r="A591" s="3">
        <v>590</v>
      </c>
      <c r="B591" s="3" t="s">
        <v>232</v>
      </c>
      <c r="C591" s="3" t="s">
        <v>625</v>
      </c>
      <c r="D591" s="3">
        <v>0.8</v>
      </c>
      <c r="E591" s="3">
        <v>750</v>
      </c>
      <c r="F591" s="3">
        <v>0</v>
      </c>
      <c r="G591" s="3">
        <v>0</v>
      </c>
      <c r="H591" s="3">
        <v>0</v>
      </c>
      <c r="I591" s="3">
        <v>0</v>
      </c>
      <c r="J591" s="4">
        <v>440000</v>
      </c>
      <c r="K591" s="4">
        <v>440000</v>
      </c>
      <c r="L591" s="3" t="s">
        <v>17</v>
      </c>
      <c r="M591" s="3" t="s">
        <v>587</v>
      </c>
      <c r="N591" s="2"/>
      <c r="O591" s="2"/>
      <c r="P591" s="3" t="str">
        <f>IF(OR(COUNTIF('ثبت لیبل'!$B$11:$B$1010,TRIM(LEFT(C591,FIND("-",C591&amp;"-")-1)))&gt;0,COUNTIF('ثبت لیبل'!$B$11:$B$1010,SUBSTITUTE(TRIM(LEFT(C591,FIND("-",C591&amp;"-")-1)),"GD",""))&gt;0),"موجود","")</f>
        <v/>
      </c>
    </row>
    <row r="592" spans="1:16">
      <c r="A592" s="3">
        <v>591</v>
      </c>
      <c r="B592" s="3" t="s">
        <v>232</v>
      </c>
      <c r="C592" s="3" t="s">
        <v>626</v>
      </c>
      <c r="D592" s="3">
        <v>0.8</v>
      </c>
      <c r="E592" s="3">
        <v>750</v>
      </c>
      <c r="F592" s="3">
        <v>0</v>
      </c>
      <c r="G592" s="3">
        <v>0</v>
      </c>
      <c r="H592" s="3">
        <v>0</v>
      </c>
      <c r="I592" s="3">
        <v>0</v>
      </c>
      <c r="J592" s="4">
        <v>440000</v>
      </c>
      <c r="K592" s="4">
        <v>440000</v>
      </c>
      <c r="L592" s="3" t="s">
        <v>17</v>
      </c>
      <c r="M592" s="3" t="s">
        <v>587</v>
      </c>
      <c r="N592" s="2"/>
      <c r="O592" s="2"/>
      <c r="P592" s="3" t="str">
        <f>IF(OR(COUNTIF('ثبت لیبل'!$B$11:$B$1010,TRIM(LEFT(C592,FIND("-",C592&amp;"-")-1)))&gt;0,COUNTIF('ثبت لیبل'!$B$11:$B$1010,SUBSTITUTE(TRIM(LEFT(C592,FIND("-",C592&amp;"-")-1)),"GD",""))&gt;0),"موجود","")</f>
        <v/>
      </c>
    </row>
    <row r="593" spans="1:16">
      <c r="A593" s="3">
        <v>592</v>
      </c>
      <c r="B593" s="3" t="s">
        <v>15</v>
      </c>
      <c r="C593" s="3" t="s">
        <v>627</v>
      </c>
      <c r="D593" s="3">
        <v>0.9</v>
      </c>
      <c r="E593" s="3">
        <v>750</v>
      </c>
      <c r="F593" s="3">
        <v>13</v>
      </c>
      <c r="G593" s="3">
        <v>13</v>
      </c>
      <c r="H593" s="3">
        <v>0</v>
      </c>
      <c r="I593" s="3">
        <v>0</v>
      </c>
      <c r="J593" s="3">
        <v>0</v>
      </c>
      <c r="K593" s="3">
        <v>0</v>
      </c>
      <c r="L593" s="3" t="s">
        <v>17</v>
      </c>
      <c r="M593" s="3" t="s">
        <v>114</v>
      </c>
      <c r="N593" s="2"/>
      <c r="O593" s="2"/>
      <c r="P593" s="3" t="str">
        <f>IF(OR(COUNTIF('ثبت لیبل'!$B$11:$B$1010,TRIM(LEFT(C593,FIND("-",C593&amp;"-")-1)))&gt;0,COUNTIF('ثبت لیبل'!$B$11:$B$1010,SUBSTITUTE(TRIM(LEFT(C593,FIND("-",C593&amp;"-")-1)),"GD",""))&gt;0),"موجود","")</f>
        <v/>
      </c>
    </row>
    <row r="594" spans="1:16">
      <c r="A594" s="3">
        <v>593</v>
      </c>
      <c r="B594" s="3" t="s">
        <v>15</v>
      </c>
      <c r="C594" s="3" t="s">
        <v>628</v>
      </c>
      <c r="D594" s="3">
        <v>1.17</v>
      </c>
      <c r="E594" s="3">
        <v>750</v>
      </c>
      <c r="F594" s="3">
        <v>13</v>
      </c>
      <c r="G594" s="3">
        <v>13</v>
      </c>
      <c r="H594" s="3">
        <v>0</v>
      </c>
      <c r="I594" s="3">
        <v>0</v>
      </c>
      <c r="J594" s="3">
        <v>0</v>
      </c>
      <c r="K594" s="3">
        <v>0</v>
      </c>
      <c r="L594" s="3" t="s">
        <v>17</v>
      </c>
      <c r="M594" s="3" t="s">
        <v>114</v>
      </c>
      <c r="N594" s="2"/>
      <c r="O594" s="2"/>
      <c r="P594" s="3" t="str">
        <f>IF(OR(COUNTIF('ثبت لیبل'!$B$11:$B$1010,TRIM(LEFT(C594,FIND("-",C594&amp;"-")-1)))&gt;0,COUNTIF('ثبت لیبل'!$B$11:$B$1010,SUBSTITUTE(TRIM(LEFT(C594,FIND("-",C594&amp;"-")-1)),"GD",""))&gt;0),"موجود","")</f>
        <v/>
      </c>
    </row>
    <row r="595" spans="1:16">
      <c r="A595" s="3">
        <v>594</v>
      </c>
      <c r="B595" s="3" t="s">
        <v>15</v>
      </c>
      <c r="C595" s="3" t="s">
        <v>629</v>
      </c>
      <c r="D595" s="3">
        <v>1.1399999999999999</v>
      </c>
      <c r="E595" s="3">
        <v>750</v>
      </c>
      <c r="F595" s="3">
        <v>13</v>
      </c>
      <c r="G595" s="3">
        <v>13</v>
      </c>
      <c r="H595" s="3">
        <v>0</v>
      </c>
      <c r="I595" s="3">
        <v>0</v>
      </c>
      <c r="J595" s="3">
        <v>0</v>
      </c>
      <c r="K595" s="3">
        <v>0</v>
      </c>
      <c r="L595" s="3" t="s">
        <v>17</v>
      </c>
      <c r="M595" s="3" t="s">
        <v>114</v>
      </c>
      <c r="N595" s="2"/>
      <c r="O595" s="2"/>
      <c r="P595" s="3" t="str">
        <f>IF(OR(COUNTIF('ثبت لیبل'!$B$11:$B$1010,TRIM(LEFT(C595,FIND("-",C595&amp;"-")-1)))&gt;0,COUNTIF('ثبت لیبل'!$B$11:$B$1010,SUBSTITUTE(TRIM(LEFT(C595,FIND("-",C595&amp;"-")-1)),"GD",""))&gt;0),"موجود","")</f>
        <v/>
      </c>
    </row>
    <row r="596" spans="1:16">
      <c r="A596" s="3">
        <v>595</v>
      </c>
      <c r="B596" s="3" t="s">
        <v>15</v>
      </c>
      <c r="C596" s="3" t="s">
        <v>630</v>
      </c>
      <c r="D596" s="3">
        <v>0.93</v>
      </c>
      <c r="E596" s="3">
        <v>750</v>
      </c>
      <c r="F596" s="3">
        <v>18</v>
      </c>
      <c r="G596" s="3">
        <v>18</v>
      </c>
      <c r="H596" s="3">
        <v>0</v>
      </c>
      <c r="I596" s="3">
        <v>0</v>
      </c>
      <c r="J596" s="3">
        <v>0</v>
      </c>
      <c r="K596" s="3">
        <v>0</v>
      </c>
      <c r="L596" s="3" t="s">
        <v>17</v>
      </c>
      <c r="M596" s="3" t="s">
        <v>18</v>
      </c>
      <c r="N596" s="2"/>
      <c r="O596" s="2"/>
      <c r="P596" s="3" t="str">
        <f>IF(OR(COUNTIF('ثبت لیبل'!$B$11:$B$1010,TRIM(LEFT(C596,FIND("-",C596&amp;"-")-1)))&gt;0,COUNTIF('ثبت لیبل'!$B$11:$B$1010,SUBSTITUTE(TRIM(LEFT(C596,FIND("-",C596&amp;"-")-1)),"GD",""))&gt;0),"موجود","")</f>
        <v/>
      </c>
    </row>
    <row r="597" spans="1:16">
      <c r="A597" s="3">
        <v>596</v>
      </c>
      <c r="B597" s="3" t="s">
        <v>15</v>
      </c>
      <c r="C597" s="3" t="s">
        <v>631</v>
      </c>
      <c r="D597" s="3">
        <v>0.52</v>
      </c>
      <c r="E597" s="3">
        <v>750</v>
      </c>
      <c r="F597" s="3">
        <v>18</v>
      </c>
      <c r="G597" s="3">
        <v>18</v>
      </c>
      <c r="H597" s="3">
        <v>0</v>
      </c>
      <c r="I597" s="3">
        <v>0</v>
      </c>
      <c r="J597" s="3">
        <v>0</v>
      </c>
      <c r="K597" s="3">
        <v>0</v>
      </c>
      <c r="L597" s="3" t="s">
        <v>17</v>
      </c>
      <c r="M597" s="3" t="s">
        <v>46</v>
      </c>
      <c r="N597" s="2"/>
      <c r="O597" s="2"/>
      <c r="P597" s="3" t="str">
        <f>IF(OR(COUNTIF('ثبت لیبل'!$B$11:$B$1010,TRIM(LEFT(C597,FIND("-",C597&amp;"-")-1)))&gt;0,COUNTIF('ثبت لیبل'!$B$11:$B$1010,SUBSTITUTE(TRIM(LEFT(C597,FIND("-",C597&amp;"-")-1)),"GD",""))&gt;0),"موجود","")</f>
        <v/>
      </c>
    </row>
    <row r="598" spans="1:16">
      <c r="A598" s="3">
        <v>597</v>
      </c>
      <c r="B598" s="3" t="s">
        <v>15</v>
      </c>
      <c r="C598" s="3" t="s">
        <v>632</v>
      </c>
      <c r="D598" s="3">
        <v>0.93</v>
      </c>
      <c r="E598" s="3">
        <v>750</v>
      </c>
      <c r="F598" s="3">
        <v>18</v>
      </c>
      <c r="G598" s="3">
        <v>18</v>
      </c>
      <c r="H598" s="3">
        <v>0</v>
      </c>
      <c r="I598" s="3">
        <v>0</v>
      </c>
      <c r="J598" s="3">
        <v>0</v>
      </c>
      <c r="K598" s="3">
        <v>0</v>
      </c>
      <c r="L598" s="3" t="s">
        <v>17</v>
      </c>
      <c r="M598" s="3" t="s">
        <v>18</v>
      </c>
      <c r="N598" s="2"/>
      <c r="O598" s="2"/>
      <c r="P598" s="3" t="str">
        <f>IF(OR(COUNTIF('ثبت لیبل'!$B$11:$B$1010,TRIM(LEFT(C598,FIND("-",C598&amp;"-")-1)))&gt;0,COUNTIF('ثبت لیبل'!$B$11:$B$1010,SUBSTITUTE(TRIM(LEFT(C598,FIND("-",C598&amp;"-")-1)),"GD",""))&gt;0),"موجود","")</f>
        <v/>
      </c>
    </row>
    <row r="599" spans="1:16">
      <c r="A599" s="3">
        <v>598</v>
      </c>
      <c r="B599" s="3" t="s">
        <v>15</v>
      </c>
      <c r="C599" s="3" t="s">
        <v>633</v>
      </c>
      <c r="D599" s="3">
        <v>0.49</v>
      </c>
      <c r="E599" s="3">
        <v>750</v>
      </c>
      <c r="F599" s="3">
        <v>13</v>
      </c>
      <c r="G599" s="3">
        <v>13</v>
      </c>
      <c r="H599" s="3">
        <v>0</v>
      </c>
      <c r="I599" s="3">
        <v>0</v>
      </c>
      <c r="J599" s="3">
        <v>0</v>
      </c>
      <c r="K599" s="3">
        <v>0</v>
      </c>
      <c r="L599" s="3" t="s">
        <v>17</v>
      </c>
      <c r="M599" s="3" t="s">
        <v>21</v>
      </c>
      <c r="N599" s="2"/>
      <c r="O599" s="2"/>
      <c r="P599" s="3" t="str">
        <f>IF(OR(COUNTIF('ثبت لیبل'!$B$11:$B$1010,TRIM(LEFT(C599,FIND("-",C599&amp;"-")-1)))&gt;0,COUNTIF('ثبت لیبل'!$B$11:$B$1010,SUBSTITUTE(TRIM(LEFT(C599,FIND("-",C599&amp;"-")-1)),"GD",""))&gt;0),"موجود","")</f>
        <v/>
      </c>
    </row>
    <row r="600" spans="1:16">
      <c r="A600" s="3">
        <v>599</v>
      </c>
      <c r="B600" s="3" t="s">
        <v>15</v>
      </c>
      <c r="C600" s="3" t="s">
        <v>634</v>
      </c>
      <c r="D600" s="3">
        <v>0.35</v>
      </c>
      <c r="E600" s="3">
        <v>750</v>
      </c>
      <c r="F600" s="3">
        <v>13</v>
      </c>
      <c r="G600" s="3">
        <v>13</v>
      </c>
      <c r="H600" s="3">
        <v>0</v>
      </c>
      <c r="I600" s="3">
        <v>0</v>
      </c>
      <c r="J600" s="3">
        <v>0</v>
      </c>
      <c r="K600" s="3">
        <v>0</v>
      </c>
      <c r="L600" s="3" t="s">
        <v>17</v>
      </c>
      <c r="M600" s="3" t="s">
        <v>21</v>
      </c>
      <c r="N600" s="2"/>
      <c r="O600" s="2"/>
      <c r="P600" s="3" t="str">
        <f>IF(OR(COUNTIF('ثبت لیبل'!$B$11:$B$1010,TRIM(LEFT(C600,FIND("-",C600&amp;"-")-1)))&gt;0,COUNTIF('ثبت لیبل'!$B$11:$B$1010,SUBSTITUTE(TRIM(LEFT(C600,FIND("-",C600&amp;"-")-1)),"GD",""))&gt;0),"موجود","")</f>
        <v/>
      </c>
    </row>
    <row r="601" spans="1:16">
      <c r="A601" s="3">
        <v>600</v>
      </c>
      <c r="B601" s="3" t="s">
        <v>15</v>
      </c>
      <c r="C601" s="3" t="s">
        <v>635</v>
      </c>
      <c r="D601" s="3">
        <v>0.49</v>
      </c>
      <c r="E601" s="3">
        <v>750</v>
      </c>
      <c r="F601" s="3">
        <v>13</v>
      </c>
      <c r="G601" s="3">
        <v>13</v>
      </c>
      <c r="H601" s="3">
        <v>0</v>
      </c>
      <c r="I601" s="3">
        <v>0</v>
      </c>
      <c r="J601" s="3">
        <v>0</v>
      </c>
      <c r="K601" s="3">
        <v>0</v>
      </c>
      <c r="L601" s="3" t="s">
        <v>17</v>
      </c>
      <c r="M601" s="3" t="s">
        <v>21</v>
      </c>
      <c r="N601" s="2"/>
      <c r="O601" s="2"/>
      <c r="P601" s="3" t="str">
        <f>IF(OR(COUNTIF('ثبت لیبل'!$B$11:$B$1010,TRIM(LEFT(C601,FIND("-",C601&amp;"-")-1)))&gt;0,COUNTIF('ثبت لیبل'!$B$11:$B$1010,SUBSTITUTE(TRIM(LEFT(C601,FIND("-",C601&amp;"-")-1)),"GD",""))&gt;0),"موجود","")</f>
        <v/>
      </c>
    </row>
    <row r="602" spans="1:16">
      <c r="A602" s="3">
        <v>601</v>
      </c>
      <c r="B602" s="3" t="s">
        <v>15</v>
      </c>
      <c r="C602" s="3" t="s">
        <v>636</v>
      </c>
      <c r="D602" s="3">
        <v>0.42</v>
      </c>
      <c r="E602" s="3">
        <v>750</v>
      </c>
      <c r="F602" s="3">
        <v>13</v>
      </c>
      <c r="G602" s="3">
        <v>13</v>
      </c>
      <c r="H602" s="3">
        <v>0</v>
      </c>
      <c r="I602" s="3">
        <v>0</v>
      </c>
      <c r="J602" s="3">
        <v>0</v>
      </c>
      <c r="K602" s="3">
        <v>0</v>
      </c>
      <c r="L602" s="3" t="s">
        <v>20</v>
      </c>
      <c r="M602" s="3" t="s">
        <v>21</v>
      </c>
      <c r="N602" s="2"/>
      <c r="O602" s="2"/>
      <c r="P602" s="3" t="str">
        <f>IF(OR(COUNTIF('ثبت لیبل'!$B$11:$B$1010,TRIM(LEFT(C602,FIND("-",C602&amp;"-")-1)))&gt;0,COUNTIF('ثبت لیبل'!$B$11:$B$1010,SUBSTITUTE(TRIM(LEFT(C602,FIND("-",C602&amp;"-")-1)),"GD",""))&gt;0),"موجود","")</f>
        <v/>
      </c>
    </row>
    <row r="603" spans="1:16">
      <c r="A603" s="3">
        <v>602</v>
      </c>
      <c r="B603" s="3" t="s">
        <v>15</v>
      </c>
      <c r="C603" s="3" t="s">
        <v>637</v>
      </c>
      <c r="D603" s="3">
        <v>0.4</v>
      </c>
      <c r="E603" s="3">
        <v>750</v>
      </c>
      <c r="F603" s="3">
        <v>13</v>
      </c>
      <c r="G603" s="3">
        <v>13</v>
      </c>
      <c r="H603" s="3">
        <v>0</v>
      </c>
      <c r="I603" s="3">
        <v>0</v>
      </c>
      <c r="J603" s="3">
        <v>0</v>
      </c>
      <c r="K603" s="3">
        <v>0</v>
      </c>
      <c r="L603" s="3" t="s">
        <v>17</v>
      </c>
      <c r="M603" s="3" t="s">
        <v>21</v>
      </c>
      <c r="N603" s="2"/>
      <c r="O603" s="2"/>
      <c r="P603" s="3" t="str">
        <f>IF(OR(COUNTIF('ثبت لیبل'!$B$11:$B$1010,TRIM(LEFT(C603,FIND("-",C603&amp;"-")-1)))&gt;0,COUNTIF('ثبت لیبل'!$B$11:$B$1010,SUBSTITUTE(TRIM(LEFT(C603,FIND("-",C603&amp;"-")-1)),"GD",""))&gt;0),"موجود","")</f>
        <v/>
      </c>
    </row>
    <row r="604" spans="1:16">
      <c r="A604" s="3">
        <v>603</v>
      </c>
      <c r="B604" s="3" t="s">
        <v>15</v>
      </c>
      <c r="C604" s="3" t="s">
        <v>638</v>
      </c>
      <c r="D604" s="3">
        <v>0.7</v>
      </c>
      <c r="E604" s="3">
        <v>750</v>
      </c>
      <c r="F604" s="3">
        <v>13</v>
      </c>
      <c r="G604" s="3">
        <v>13</v>
      </c>
      <c r="H604" s="3">
        <v>0</v>
      </c>
      <c r="I604" s="3">
        <v>0</v>
      </c>
      <c r="J604" s="3">
        <v>0</v>
      </c>
      <c r="K604" s="3">
        <v>0</v>
      </c>
      <c r="L604" s="3" t="s">
        <v>17</v>
      </c>
      <c r="M604" s="3" t="s">
        <v>21</v>
      </c>
      <c r="N604" s="2"/>
      <c r="O604" s="2"/>
      <c r="P604" s="3" t="str">
        <f>IF(OR(COUNTIF('ثبت لیبل'!$B$11:$B$1010,TRIM(LEFT(C604,FIND("-",C604&amp;"-")-1)))&gt;0,COUNTIF('ثبت لیبل'!$B$11:$B$1010,SUBSTITUTE(TRIM(LEFT(C604,FIND("-",C604&amp;"-")-1)),"GD",""))&gt;0),"موجود","")</f>
        <v/>
      </c>
    </row>
    <row r="605" spans="1:16">
      <c r="A605" s="3">
        <v>604</v>
      </c>
      <c r="B605" s="3" t="s">
        <v>15</v>
      </c>
      <c r="C605" s="3" t="s">
        <v>639</v>
      </c>
      <c r="D605" s="3">
        <v>0.35</v>
      </c>
      <c r="E605" s="3">
        <v>750</v>
      </c>
      <c r="F605" s="3">
        <v>13</v>
      </c>
      <c r="G605" s="3">
        <v>13</v>
      </c>
      <c r="H605" s="3">
        <v>0</v>
      </c>
      <c r="I605" s="3">
        <v>0</v>
      </c>
      <c r="J605" s="3">
        <v>0</v>
      </c>
      <c r="K605" s="3">
        <v>0</v>
      </c>
      <c r="L605" s="3" t="s">
        <v>17</v>
      </c>
      <c r="M605" s="3" t="s">
        <v>21</v>
      </c>
      <c r="N605" s="2"/>
      <c r="O605" s="2"/>
      <c r="P605" s="3" t="str">
        <f>IF(OR(COUNTIF('ثبت لیبل'!$B$11:$B$1010,TRIM(LEFT(C605,FIND("-",C605&amp;"-")-1)))&gt;0,COUNTIF('ثبت لیبل'!$B$11:$B$1010,SUBSTITUTE(TRIM(LEFT(C605,FIND("-",C605&amp;"-")-1)),"GD",""))&gt;0),"موجود","")</f>
        <v/>
      </c>
    </row>
    <row r="606" spans="1:16">
      <c r="A606" s="3">
        <v>605</v>
      </c>
      <c r="B606" s="3" t="s">
        <v>15</v>
      </c>
      <c r="C606" s="3" t="s">
        <v>640</v>
      </c>
      <c r="D606" s="3">
        <v>0.43</v>
      </c>
      <c r="E606" s="3">
        <v>750</v>
      </c>
      <c r="F606" s="3">
        <v>13</v>
      </c>
      <c r="G606" s="3">
        <v>13</v>
      </c>
      <c r="H606" s="3">
        <v>0</v>
      </c>
      <c r="I606" s="3">
        <v>0</v>
      </c>
      <c r="J606" s="3">
        <v>0</v>
      </c>
      <c r="K606" s="3">
        <v>0</v>
      </c>
      <c r="L606" s="3" t="s">
        <v>20</v>
      </c>
      <c r="M606" s="3" t="s">
        <v>21</v>
      </c>
      <c r="N606" s="2"/>
      <c r="O606" s="2"/>
      <c r="P606" s="3" t="str">
        <f>IF(OR(COUNTIF('ثبت لیبل'!$B$11:$B$1010,TRIM(LEFT(C606,FIND("-",C606&amp;"-")-1)))&gt;0,COUNTIF('ثبت لیبل'!$B$11:$B$1010,SUBSTITUTE(TRIM(LEFT(C606,FIND("-",C606&amp;"-")-1)),"GD",""))&gt;0),"موجود","")</f>
        <v/>
      </c>
    </row>
    <row r="607" spans="1:16">
      <c r="A607" s="3">
        <v>606</v>
      </c>
      <c r="B607" s="3" t="s">
        <v>15</v>
      </c>
      <c r="C607" s="3" t="s">
        <v>641</v>
      </c>
      <c r="D607" s="3">
        <v>1.85</v>
      </c>
      <c r="E607" s="3">
        <v>750</v>
      </c>
      <c r="F607" s="3">
        <v>10</v>
      </c>
      <c r="G607" s="3">
        <v>10</v>
      </c>
      <c r="H607" s="3">
        <v>0</v>
      </c>
      <c r="I607" s="3">
        <v>0</v>
      </c>
      <c r="J607" s="3">
        <v>0</v>
      </c>
      <c r="K607" s="3">
        <v>0</v>
      </c>
      <c r="L607" s="3" t="s">
        <v>17</v>
      </c>
      <c r="M607" s="3" t="s">
        <v>60</v>
      </c>
      <c r="N607" s="2"/>
      <c r="O607" s="2"/>
      <c r="P607" s="3" t="str">
        <f>IF(OR(COUNTIF('ثبت لیبل'!$B$11:$B$1010,TRIM(LEFT(C607,FIND("-",C607&amp;"-")-1)))&gt;0,COUNTIF('ثبت لیبل'!$B$11:$B$1010,SUBSTITUTE(TRIM(LEFT(C607,FIND("-",C607&amp;"-")-1)),"GD",""))&gt;0),"موجود","")</f>
        <v/>
      </c>
    </row>
    <row r="608" spans="1:16">
      <c r="A608" s="3">
        <v>607</v>
      </c>
      <c r="B608" s="3" t="s">
        <v>15</v>
      </c>
      <c r="C608" s="3" t="s">
        <v>642</v>
      </c>
      <c r="D608" s="3">
        <v>1.9</v>
      </c>
      <c r="E608" s="3">
        <v>750</v>
      </c>
      <c r="F608" s="3">
        <v>10</v>
      </c>
      <c r="G608" s="3">
        <v>10</v>
      </c>
      <c r="H608" s="3">
        <v>0</v>
      </c>
      <c r="I608" s="3">
        <v>0</v>
      </c>
      <c r="J608" s="3">
        <v>0</v>
      </c>
      <c r="K608" s="3">
        <v>0</v>
      </c>
      <c r="L608" s="3" t="s">
        <v>17</v>
      </c>
      <c r="M608" s="3" t="s">
        <v>60</v>
      </c>
      <c r="N608" s="2"/>
      <c r="O608" s="2"/>
      <c r="P608" s="3" t="str">
        <f>IF(OR(COUNTIF('ثبت لیبل'!$B$11:$B$1010,TRIM(LEFT(C608,FIND("-",C608&amp;"-")-1)))&gt;0,COUNTIF('ثبت لیبل'!$B$11:$B$1010,SUBSTITUTE(TRIM(LEFT(C608,FIND("-",C608&amp;"-")-1)),"GD",""))&gt;0),"موجود","")</f>
        <v/>
      </c>
    </row>
    <row r="609" spans="1:16">
      <c r="A609" s="3">
        <v>608</v>
      </c>
      <c r="B609" s="3" t="s">
        <v>15</v>
      </c>
      <c r="C609" s="3" t="s">
        <v>643</v>
      </c>
      <c r="D609" s="3">
        <v>1.77</v>
      </c>
      <c r="E609" s="3">
        <v>750</v>
      </c>
      <c r="F609" s="3">
        <v>10</v>
      </c>
      <c r="G609" s="3">
        <v>10</v>
      </c>
      <c r="H609" s="3">
        <v>0</v>
      </c>
      <c r="I609" s="3">
        <v>0</v>
      </c>
      <c r="J609" s="3">
        <v>0</v>
      </c>
      <c r="K609" s="3">
        <v>0</v>
      </c>
      <c r="L609" s="3" t="s">
        <v>17</v>
      </c>
      <c r="M609" s="3" t="s">
        <v>60</v>
      </c>
      <c r="N609" s="2"/>
      <c r="O609" s="2"/>
      <c r="P609" s="3" t="str">
        <f>IF(OR(COUNTIF('ثبت لیبل'!$B$11:$B$1010,TRIM(LEFT(C609,FIND("-",C609&amp;"-")-1)))&gt;0,COUNTIF('ثبت لیبل'!$B$11:$B$1010,SUBSTITUTE(TRIM(LEFT(C609,FIND("-",C609&amp;"-")-1)),"GD",""))&gt;0),"موجود","")</f>
        <v/>
      </c>
    </row>
    <row r="610" spans="1:16">
      <c r="A610" s="3">
        <v>609</v>
      </c>
      <c r="B610" s="3" t="s">
        <v>15</v>
      </c>
      <c r="C610" s="3" t="s">
        <v>644</v>
      </c>
      <c r="D610" s="3">
        <v>1.8</v>
      </c>
      <c r="E610" s="3">
        <v>750</v>
      </c>
      <c r="F610" s="3">
        <v>11</v>
      </c>
      <c r="G610" s="3">
        <v>11</v>
      </c>
      <c r="H610" s="3">
        <v>0</v>
      </c>
      <c r="I610" s="3">
        <v>0</v>
      </c>
      <c r="J610" s="3">
        <v>0</v>
      </c>
      <c r="K610" s="3">
        <v>0</v>
      </c>
      <c r="L610" s="3" t="s">
        <v>17</v>
      </c>
      <c r="M610" s="3" t="s">
        <v>354</v>
      </c>
      <c r="N610" s="2"/>
      <c r="O610" s="2"/>
      <c r="P610" s="3" t="str">
        <f>IF(OR(COUNTIF('ثبت لیبل'!$B$11:$B$1010,TRIM(LEFT(C610,FIND("-",C610&amp;"-")-1)))&gt;0,COUNTIF('ثبت لیبل'!$B$11:$B$1010,SUBSTITUTE(TRIM(LEFT(C610,FIND("-",C610&amp;"-")-1)),"GD",""))&gt;0),"موجود","")</f>
        <v/>
      </c>
    </row>
    <row r="611" spans="1:16">
      <c r="A611" s="3">
        <v>610</v>
      </c>
      <c r="B611" s="3" t="s">
        <v>15</v>
      </c>
      <c r="C611" s="3" t="s">
        <v>645</v>
      </c>
      <c r="D611" s="3">
        <v>1.89</v>
      </c>
      <c r="E611" s="3">
        <v>750</v>
      </c>
      <c r="F611" s="3">
        <v>11</v>
      </c>
      <c r="G611" s="3">
        <v>11</v>
      </c>
      <c r="H611" s="3">
        <v>0</v>
      </c>
      <c r="I611" s="3">
        <v>0</v>
      </c>
      <c r="J611" s="3">
        <v>0</v>
      </c>
      <c r="K611" s="3">
        <v>0</v>
      </c>
      <c r="L611" s="3" t="s">
        <v>17</v>
      </c>
      <c r="M611" s="3" t="s">
        <v>354</v>
      </c>
      <c r="N611" s="2"/>
      <c r="O611" s="2"/>
      <c r="P611" s="3" t="str">
        <f>IF(OR(COUNTIF('ثبت لیبل'!$B$11:$B$1010,TRIM(LEFT(C611,FIND("-",C611&amp;"-")-1)))&gt;0,COUNTIF('ثبت لیبل'!$B$11:$B$1010,SUBSTITUTE(TRIM(LEFT(C611,FIND("-",C611&amp;"-")-1)),"GD",""))&gt;0),"موجود","")</f>
        <v/>
      </c>
    </row>
    <row r="612" spans="1:16">
      <c r="A612" s="3">
        <v>611</v>
      </c>
      <c r="B612" s="3" t="s">
        <v>15</v>
      </c>
      <c r="C612" s="3" t="s">
        <v>646</v>
      </c>
      <c r="D612" s="3">
        <v>1.52</v>
      </c>
      <c r="E612" s="3">
        <v>750</v>
      </c>
      <c r="F612" s="3">
        <v>12</v>
      </c>
      <c r="G612" s="3">
        <v>12</v>
      </c>
      <c r="H612" s="3">
        <v>0</v>
      </c>
      <c r="I612" s="3">
        <v>0</v>
      </c>
      <c r="J612" s="3">
        <v>0</v>
      </c>
      <c r="K612" s="3">
        <v>0</v>
      </c>
      <c r="L612" s="3" t="s">
        <v>17</v>
      </c>
      <c r="M612" s="3" t="s">
        <v>60</v>
      </c>
      <c r="N612" s="2"/>
      <c r="O612" s="2"/>
      <c r="P612" s="3" t="str">
        <f>IF(OR(COUNTIF('ثبت لیبل'!$B$11:$B$1010,TRIM(LEFT(C612,FIND("-",C612&amp;"-")-1)))&gt;0,COUNTIF('ثبت لیبل'!$B$11:$B$1010,SUBSTITUTE(TRIM(LEFT(C612,FIND("-",C612&amp;"-")-1)),"GD",""))&gt;0),"موجود","")</f>
        <v/>
      </c>
    </row>
    <row r="613" spans="1:16">
      <c r="A613" s="3">
        <v>612</v>
      </c>
      <c r="B613" s="3" t="s">
        <v>15</v>
      </c>
      <c r="C613" s="3" t="s">
        <v>647</v>
      </c>
      <c r="D613" s="3">
        <v>1.35</v>
      </c>
      <c r="E613" s="3">
        <v>750</v>
      </c>
      <c r="F613" s="3">
        <v>12</v>
      </c>
      <c r="G613" s="3">
        <v>12</v>
      </c>
      <c r="H613" s="3">
        <v>0</v>
      </c>
      <c r="I613" s="3">
        <v>0</v>
      </c>
      <c r="J613" s="3">
        <v>0</v>
      </c>
      <c r="K613" s="3">
        <v>0</v>
      </c>
      <c r="L613" s="3" t="s">
        <v>17</v>
      </c>
      <c r="M613" s="3" t="s">
        <v>60</v>
      </c>
      <c r="N613" s="2"/>
      <c r="O613" s="2"/>
      <c r="P613" s="3" t="str">
        <f>IF(OR(COUNTIF('ثبت لیبل'!$B$11:$B$1010,TRIM(LEFT(C613,FIND("-",C613&amp;"-")-1)))&gt;0,COUNTIF('ثبت لیبل'!$B$11:$B$1010,SUBSTITUTE(TRIM(LEFT(C613,FIND("-",C613&amp;"-")-1)),"GD",""))&gt;0),"موجود","")</f>
        <v/>
      </c>
    </row>
    <row r="614" spans="1:16">
      <c r="A614" s="3">
        <v>613</v>
      </c>
      <c r="B614" s="3" t="s">
        <v>15</v>
      </c>
      <c r="C614" s="3" t="s">
        <v>648</v>
      </c>
      <c r="D614" s="3">
        <v>0.9</v>
      </c>
      <c r="E614" s="3">
        <v>750</v>
      </c>
      <c r="F614" s="3">
        <v>12</v>
      </c>
      <c r="G614" s="3">
        <v>12</v>
      </c>
      <c r="H614" s="3">
        <v>0</v>
      </c>
      <c r="I614" s="3">
        <v>0</v>
      </c>
      <c r="J614" s="3">
        <v>0</v>
      </c>
      <c r="K614" s="3">
        <v>0</v>
      </c>
      <c r="L614" s="3" t="s">
        <v>17</v>
      </c>
      <c r="M614" s="3" t="s">
        <v>60</v>
      </c>
      <c r="N614" s="2"/>
      <c r="O614" s="2"/>
      <c r="P614" s="3" t="str">
        <f>IF(OR(COUNTIF('ثبت لیبل'!$B$11:$B$1010,TRIM(LEFT(C614,FIND("-",C614&amp;"-")-1)))&gt;0,COUNTIF('ثبت لیبل'!$B$11:$B$1010,SUBSTITUTE(TRIM(LEFT(C614,FIND("-",C614&amp;"-")-1)),"GD",""))&gt;0),"موجود","")</f>
        <v/>
      </c>
    </row>
    <row r="615" spans="1:16">
      <c r="A615" s="3">
        <v>614</v>
      </c>
      <c r="B615" s="3" t="s">
        <v>15</v>
      </c>
      <c r="C615" s="3" t="s">
        <v>649</v>
      </c>
      <c r="D615" s="3">
        <v>1.18</v>
      </c>
      <c r="E615" s="3">
        <v>750</v>
      </c>
      <c r="F615" s="3">
        <v>12</v>
      </c>
      <c r="G615" s="3">
        <v>12</v>
      </c>
      <c r="H615" s="3">
        <v>0</v>
      </c>
      <c r="I615" s="3">
        <v>0</v>
      </c>
      <c r="J615" s="3">
        <v>0</v>
      </c>
      <c r="K615" s="3">
        <v>0</v>
      </c>
      <c r="L615" s="3" t="s">
        <v>17</v>
      </c>
      <c r="M615" s="3" t="s">
        <v>60</v>
      </c>
      <c r="N615" s="2"/>
      <c r="O615" s="2"/>
      <c r="P615" s="3" t="str">
        <f>IF(OR(COUNTIF('ثبت لیبل'!$B$11:$B$1010,TRIM(LEFT(C615,FIND("-",C615&amp;"-")-1)))&gt;0,COUNTIF('ثبت لیبل'!$B$11:$B$1010,SUBSTITUTE(TRIM(LEFT(C615,FIND("-",C615&amp;"-")-1)),"GD",""))&gt;0),"موجود","")</f>
        <v/>
      </c>
    </row>
    <row r="616" spans="1:16">
      <c r="A616" s="3">
        <v>615</v>
      </c>
      <c r="B616" s="3" t="s">
        <v>15</v>
      </c>
      <c r="C616" s="3" t="s">
        <v>650</v>
      </c>
      <c r="D616" s="3">
        <v>0.96</v>
      </c>
      <c r="E616" s="3">
        <v>750</v>
      </c>
      <c r="F616" s="3">
        <v>12</v>
      </c>
      <c r="G616" s="3">
        <v>12</v>
      </c>
      <c r="H616" s="3">
        <v>0</v>
      </c>
      <c r="I616" s="3">
        <v>0</v>
      </c>
      <c r="J616" s="3">
        <v>0</v>
      </c>
      <c r="K616" s="3">
        <v>0</v>
      </c>
      <c r="L616" s="3" t="s">
        <v>17</v>
      </c>
      <c r="M616" s="3" t="s">
        <v>60</v>
      </c>
      <c r="N616" s="2"/>
      <c r="O616" s="2"/>
      <c r="P616" s="3" t="str">
        <f>IF(OR(COUNTIF('ثبت لیبل'!$B$11:$B$1010,TRIM(LEFT(C616,FIND("-",C616&amp;"-")-1)))&gt;0,COUNTIF('ثبت لیبل'!$B$11:$B$1010,SUBSTITUTE(TRIM(LEFT(C616,FIND("-",C616&amp;"-")-1)),"GD",""))&gt;0),"موجود","")</f>
        <v/>
      </c>
    </row>
    <row r="617" spans="1:16">
      <c r="A617" s="3">
        <v>616</v>
      </c>
      <c r="B617" s="3" t="s">
        <v>15</v>
      </c>
      <c r="C617" s="3" t="s">
        <v>651</v>
      </c>
      <c r="D617" s="3">
        <v>0.93</v>
      </c>
      <c r="E617" s="3">
        <v>750</v>
      </c>
      <c r="F617" s="3">
        <v>12</v>
      </c>
      <c r="G617" s="3">
        <v>12</v>
      </c>
      <c r="H617" s="3">
        <v>0</v>
      </c>
      <c r="I617" s="3">
        <v>0</v>
      </c>
      <c r="J617" s="3">
        <v>0</v>
      </c>
      <c r="K617" s="3">
        <v>0</v>
      </c>
      <c r="L617" s="3" t="s">
        <v>17</v>
      </c>
      <c r="M617" s="3" t="s">
        <v>60</v>
      </c>
      <c r="N617" s="2"/>
      <c r="O617" s="2"/>
      <c r="P617" s="3" t="str">
        <f>IF(OR(COUNTIF('ثبت لیبل'!$B$11:$B$1010,TRIM(LEFT(C617,FIND("-",C617&amp;"-")-1)))&gt;0,COUNTIF('ثبت لیبل'!$B$11:$B$1010,SUBSTITUTE(TRIM(LEFT(C617,FIND("-",C617&amp;"-")-1)),"GD",""))&gt;0),"موجود","")</f>
        <v/>
      </c>
    </row>
    <row r="618" spans="1:16">
      <c r="A618" s="3">
        <v>617</v>
      </c>
      <c r="B618" s="3" t="s">
        <v>232</v>
      </c>
      <c r="C618" s="3" t="s">
        <v>652</v>
      </c>
      <c r="D618" s="3">
        <v>0.4</v>
      </c>
      <c r="E618" s="3">
        <v>750</v>
      </c>
      <c r="F618" s="3">
        <v>0</v>
      </c>
      <c r="G618" s="3">
        <v>0</v>
      </c>
      <c r="H618" s="3">
        <v>0</v>
      </c>
      <c r="I618" s="3">
        <v>0</v>
      </c>
      <c r="J618" s="4">
        <v>440000</v>
      </c>
      <c r="K618" s="4">
        <v>440000</v>
      </c>
      <c r="L618" s="3" t="s">
        <v>17</v>
      </c>
      <c r="M618" s="3" t="s">
        <v>587</v>
      </c>
      <c r="N618" s="2"/>
      <c r="O618" s="2"/>
      <c r="P618" s="3" t="str">
        <f>IF(OR(COUNTIF('ثبت لیبل'!$B$11:$B$1010,TRIM(LEFT(C618,FIND("-",C618&amp;"-")-1)))&gt;0,COUNTIF('ثبت لیبل'!$B$11:$B$1010,SUBSTITUTE(TRIM(LEFT(C618,FIND("-",C618&amp;"-")-1)),"GD",""))&gt;0),"موجود","")</f>
        <v/>
      </c>
    </row>
    <row r="619" spans="1:16">
      <c r="A619" s="3">
        <v>618</v>
      </c>
      <c r="B619" s="3" t="s">
        <v>492</v>
      </c>
      <c r="C619" s="3" t="s">
        <v>653</v>
      </c>
      <c r="D619" s="3">
        <v>23.27</v>
      </c>
      <c r="E619" s="3">
        <v>750</v>
      </c>
      <c r="F619" s="3">
        <v>18</v>
      </c>
      <c r="G619" s="3">
        <v>24</v>
      </c>
      <c r="H619" s="3">
        <v>0</v>
      </c>
      <c r="I619" s="3">
        <v>0</v>
      </c>
      <c r="J619" s="3">
        <v>0</v>
      </c>
      <c r="K619" s="3">
        <v>0</v>
      </c>
      <c r="L619" s="3" t="s">
        <v>170</v>
      </c>
      <c r="M619" s="3" t="s">
        <v>70</v>
      </c>
      <c r="N619" s="2"/>
      <c r="O619" s="2"/>
      <c r="P619" s="3" t="str">
        <f>IF(OR(COUNTIF('ثبت لیبل'!$B$11:$B$1010,TRIM(LEFT(C619,FIND("-",C619&amp;"-")-1)))&gt;0,COUNTIF('ثبت لیبل'!$B$11:$B$1010,SUBSTITUTE(TRIM(LEFT(C619,FIND("-",C619&amp;"-")-1)),"GD",""))&gt;0),"موجود","")</f>
        <v/>
      </c>
    </row>
    <row r="620" spans="1:16">
      <c r="A620" s="3">
        <v>619</v>
      </c>
      <c r="B620" s="3" t="s">
        <v>15</v>
      </c>
      <c r="C620" s="3" t="s">
        <v>654</v>
      </c>
      <c r="D620" s="3">
        <v>0.49</v>
      </c>
      <c r="E620" s="3">
        <v>750</v>
      </c>
      <c r="F620" s="3">
        <v>13</v>
      </c>
      <c r="G620" s="3">
        <v>19</v>
      </c>
      <c r="H620" s="3">
        <v>0</v>
      </c>
      <c r="I620" s="3">
        <v>0</v>
      </c>
      <c r="J620" s="3">
        <v>0</v>
      </c>
      <c r="K620" s="3">
        <v>0</v>
      </c>
      <c r="L620" s="3" t="s">
        <v>17</v>
      </c>
      <c r="M620" s="3" t="s">
        <v>21</v>
      </c>
      <c r="N620" s="2"/>
      <c r="O620" s="2"/>
      <c r="P620" s="3" t="str">
        <f>IF(OR(COUNTIF('ثبت لیبل'!$B$11:$B$1010,TRIM(LEFT(C620,FIND("-",C620&amp;"-")-1)))&gt;0,COUNTIF('ثبت لیبل'!$B$11:$B$1010,SUBSTITUTE(TRIM(LEFT(C620,FIND("-",C620&amp;"-")-1)),"GD",""))&gt;0),"موجود","")</f>
        <v/>
      </c>
    </row>
    <row r="621" spans="1:16">
      <c r="A621" s="3">
        <v>620</v>
      </c>
      <c r="B621" s="3" t="s">
        <v>15</v>
      </c>
      <c r="C621" s="3" t="s">
        <v>655</v>
      </c>
      <c r="D621" s="3">
        <v>0.52</v>
      </c>
      <c r="E621" s="3">
        <v>750</v>
      </c>
      <c r="F621" s="3">
        <v>13</v>
      </c>
      <c r="G621" s="3">
        <v>19</v>
      </c>
      <c r="H621" s="3">
        <v>0</v>
      </c>
      <c r="I621" s="3">
        <v>0</v>
      </c>
      <c r="J621" s="3">
        <v>0</v>
      </c>
      <c r="K621" s="3">
        <v>0</v>
      </c>
      <c r="L621" s="3" t="s">
        <v>17</v>
      </c>
      <c r="M621" s="3" t="s">
        <v>21</v>
      </c>
      <c r="N621" s="2"/>
      <c r="O621" s="2"/>
      <c r="P621" s="3" t="str">
        <f>IF(OR(COUNTIF('ثبت لیبل'!$B$11:$B$1010,TRIM(LEFT(C621,FIND("-",C621&amp;"-")-1)))&gt;0,COUNTIF('ثبت لیبل'!$B$11:$B$1010,SUBSTITUTE(TRIM(LEFT(C621,FIND("-",C621&amp;"-")-1)),"GD",""))&gt;0),"موجود","")</f>
        <v/>
      </c>
    </row>
    <row r="622" spans="1:16">
      <c r="A622" s="3">
        <v>621</v>
      </c>
      <c r="B622" s="3" t="s">
        <v>15</v>
      </c>
      <c r="C622" s="3" t="s">
        <v>656</v>
      </c>
      <c r="D622" s="3">
        <v>10.57</v>
      </c>
      <c r="E622" s="3">
        <v>750</v>
      </c>
      <c r="F622" s="3">
        <v>14</v>
      </c>
      <c r="G622" s="3">
        <v>20</v>
      </c>
      <c r="H622" s="3">
        <v>0</v>
      </c>
      <c r="I622" s="3">
        <v>0</v>
      </c>
      <c r="J622" s="3">
        <v>0</v>
      </c>
      <c r="K622" s="3">
        <v>0</v>
      </c>
      <c r="L622" s="3" t="s">
        <v>170</v>
      </c>
      <c r="M622" s="3" t="s">
        <v>46</v>
      </c>
      <c r="N622" s="2"/>
      <c r="O622" s="2"/>
      <c r="P622" s="3" t="str">
        <f>IF(OR(COUNTIF('ثبت لیبل'!$B$11:$B$1010,TRIM(LEFT(C622,FIND("-",C622&amp;"-")-1)))&gt;0,COUNTIF('ثبت لیبل'!$B$11:$B$1010,SUBSTITUTE(TRIM(LEFT(C622,FIND("-",C622&amp;"-")-1)),"GD",""))&gt;0),"موجود","")</f>
        <v/>
      </c>
    </row>
    <row r="623" spans="1:16">
      <c r="A623" s="3">
        <v>622</v>
      </c>
      <c r="B623" s="3" t="s">
        <v>15</v>
      </c>
      <c r="C623" s="3" t="s">
        <v>657</v>
      </c>
      <c r="D623" s="3">
        <v>1.3</v>
      </c>
      <c r="E623" s="3">
        <v>750</v>
      </c>
      <c r="F623" s="3">
        <v>13</v>
      </c>
      <c r="G623" s="3">
        <v>19</v>
      </c>
      <c r="H623" s="3">
        <v>0</v>
      </c>
      <c r="I623" s="3">
        <v>0</v>
      </c>
      <c r="J623" s="3">
        <v>0</v>
      </c>
      <c r="K623" s="3">
        <v>0</v>
      </c>
      <c r="L623" s="3" t="s">
        <v>17</v>
      </c>
      <c r="M623" s="3" t="s">
        <v>46</v>
      </c>
      <c r="N623" s="2"/>
      <c r="O623" s="2"/>
      <c r="P623" s="3" t="str">
        <f>IF(OR(COUNTIF('ثبت لیبل'!$B$11:$B$1010,TRIM(LEFT(C623,FIND("-",C623&amp;"-")-1)))&gt;0,COUNTIF('ثبت لیبل'!$B$11:$B$1010,SUBSTITUTE(TRIM(LEFT(C623,FIND("-",C623&amp;"-")-1)),"GD",""))&gt;0),"موجود","")</f>
        <v/>
      </c>
    </row>
    <row r="624" spans="1:16">
      <c r="A624" s="3">
        <v>623</v>
      </c>
      <c r="B624" s="3" t="s">
        <v>15</v>
      </c>
      <c r="C624" s="3" t="s">
        <v>658</v>
      </c>
      <c r="D624" s="3">
        <v>1.68</v>
      </c>
      <c r="E624" s="3">
        <v>750</v>
      </c>
      <c r="F624" s="3">
        <v>18</v>
      </c>
      <c r="G624" s="3">
        <v>24</v>
      </c>
      <c r="H624" s="3">
        <v>0</v>
      </c>
      <c r="I624" s="3">
        <v>0</v>
      </c>
      <c r="J624" s="3">
        <v>0</v>
      </c>
      <c r="K624" s="3">
        <v>0</v>
      </c>
      <c r="L624" s="3" t="s">
        <v>17</v>
      </c>
      <c r="M624" s="3" t="s">
        <v>18</v>
      </c>
      <c r="N624" s="2"/>
      <c r="O624" s="2"/>
      <c r="P624" s="3" t="str">
        <f>IF(OR(COUNTIF('ثبت لیبل'!$B$11:$B$1010,TRIM(LEFT(C624,FIND("-",C624&amp;"-")-1)))&gt;0,COUNTIF('ثبت لیبل'!$B$11:$B$1010,SUBSTITUTE(TRIM(LEFT(C624,FIND("-",C624&amp;"-")-1)),"GD",""))&gt;0),"موجود","")</f>
        <v/>
      </c>
    </row>
    <row r="625" spans="1:16">
      <c r="A625" s="3">
        <v>624</v>
      </c>
      <c r="B625" s="3" t="s">
        <v>15</v>
      </c>
      <c r="C625" s="3" t="s">
        <v>659</v>
      </c>
      <c r="D625" s="3">
        <v>1.1299999999999999</v>
      </c>
      <c r="E625" s="3">
        <v>750</v>
      </c>
      <c r="F625" s="3">
        <v>11</v>
      </c>
      <c r="G625" s="3">
        <v>17</v>
      </c>
      <c r="H625" s="3">
        <v>0</v>
      </c>
      <c r="I625" s="3">
        <v>0</v>
      </c>
      <c r="J625" s="3">
        <v>0</v>
      </c>
      <c r="K625" s="3">
        <v>0</v>
      </c>
      <c r="L625" s="3" t="s">
        <v>17</v>
      </c>
      <c r="M625" s="3" t="s">
        <v>76</v>
      </c>
      <c r="N625" s="2"/>
      <c r="O625" s="2"/>
      <c r="P625" s="3" t="str">
        <f>IF(OR(COUNTIF('ثبت لیبل'!$B$11:$B$1010,TRIM(LEFT(C625,FIND("-",C625&amp;"-")-1)))&gt;0,COUNTIF('ثبت لیبل'!$B$11:$B$1010,SUBSTITUTE(TRIM(LEFT(C625,FIND("-",C625&amp;"-")-1)),"GD",""))&gt;0),"موجود","")</f>
        <v/>
      </c>
    </row>
    <row r="626" spans="1:16">
      <c r="A626" s="3">
        <v>625</v>
      </c>
      <c r="B626" s="3" t="s">
        <v>15</v>
      </c>
      <c r="C626" s="3" t="s">
        <v>660</v>
      </c>
      <c r="D626" s="3">
        <v>1.1100000000000001</v>
      </c>
      <c r="E626" s="3">
        <v>750</v>
      </c>
      <c r="F626" s="3">
        <v>11</v>
      </c>
      <c r="G626" s="3">
        <v>17</v>
      </c>
      <c r="H626" s="3">
        <v>0</v>
      </c>
      <c r="I626" s="3">
        <v>0</v>
      </c>
      <c r="J626" s="3">
        <v>0</v>
      </c>
      <c r="K626" s="3">
        <v>0</v>
      </c>
      <c r="L626" s="3" t="s">
        <v>17</v>
      </c>
      <c r="M626" s="3" t="s">
        <v>76</v>
      </c>
      <c r="N626" s="2"/>
      <c r="O626" s="2"/>
      <c r="P626" s="3" t="str">
        <f>IF(OR(COUNTIF('ثبت لیبل'!$B$11:$B$1010,TRIM(LEFT(C626,FIND("-",C626&amp;"-")-1)))&gt;0,COUNTIF('ثبت لیبل'!$B$11:$B$1010,SUBSTITUTE(TRIM(LEFT(C626,FIND("-",C626&amp;"-")-1)),"GD",""))&gt;0),"موجود","")</f>
        <v/>
      </c>
    </row>
    <row r="627" spans="1:16">
      <c r="A627" s="3">
        <v>626</v>
      </c>
      <c r="B627" s="3" t="s">
        <v>15</v>
      </c>
      <c r="C627" s="3" t="s">
        <v>661</v>
      </c>
      <c r="D627" s="3">
        <v>1.1200000000000001</v>
      </c>
      <c r="E627" s="3">
        <v>750</v>
      </c>
      <c r="F627" s="3">
        <v>11</v>
      </c>
      <c r="G627" s="3">
        <v>17</v>
      </c>
      <c r="H627" s="3">
        <v>0</v>
      </c>
      <c r="I627" s="3">
        <v>0</v>
      </c>
      <c r="J627" s="3">
        <v>0</v>
      </c>
      <c r="K627" s="3">
        <v>0</v>
      </c>
      <c r="L627" s="3" t="s">
        <v>17</v>
      </c>
      <c r="M627" s="3" t="s">
        <v>76</v>
      </c>
      <c r="N627" s="2"/>
      <c r="O627" s="2"/>
      <c r="P627" s="3" t="str">
        <f>IF(OR(COUNTIF('ثبت لیبل'!$B$11:$B$1010,TRIM(LEFT(C627,FIND("-",C627&amp;"-")-1)))&gt;0,COUNTIF('ثبت لیبل'!$B$11:$B$1010,SUBSTITUTE(TRIM(LEFT(C627,FIND("-",C627&amp;"-")-1)),"GD",""))&gt;0),"موجود","")</f>
        <v/>
      </c>
    </row>
    <row r="628" spans="1:16">
      <c r="A628" s="3">
        <v>627</v>
      </c>
      <c r="B628" s="3" t="s">
        <v>15</v>
      </c>
      <c r="C628" s="3" t="s">
        <v>662</v>
      </c>
      <c r="D628" s="3">
        <v>0.85</v>
      </c>
      <c r="E628" s="3">
        <v>750</v>
      </c>
      <c r="F628" s="3">
        <v>11</v>
      </c>
      <c r="G628" s="3">
        <v>17</v>
      </c>
      <c r="H628" s="3">
        <v>0</v>
      </c>
      <c r="I628" s="3">
        <v>0</v>
      </c>
      <c r="J628" s="3">
        <v>0</v>
      </c>
      <c r="K628" s="3">
        <v>0</v>
      </c>
      <c r="L628" s="3" t="s">
        <v>17</v>
      </c>
      <c r="M628" s="3" t="s">
        <v>76</v>
      </c>
      <c r="N628" s="2"/>
      <c r="O628" s="2"/>
      <c r="P628" s="3" t="str">
        <f>IF(OR(COUNTIF('ثبت لیبل'!$B$11:$B$1010,TRIM(LEFT(C628,FIND("-",C628&amp;"-")-1)))&gt;0,COUNTIF('ثبت لیبل'!$B$11:$B$1010,SUBSTITUTE(TRIM(LEFT(C628,FIND("-",C628&amp;"-")-1)),"GD",""))&gt;0),"موجود","")</f>
        <v/>
      </c>
    </row>
    <row r="629" spans="1:16">
      <c r="A629" s="3">
        <v>628</v>
      </c>
      <c r="B629" s="3" t="s">
        <v>15</v>
      </c>
      <c r="C629" s="3" t="s">
        <v>663</v>
      </c>
      <c r="D629" s="3">
        <v>0.7</v>
      </c>
      <c r="E629" s="3">
        <v>750</v>
      </c>
      <c r="F629" s="3">
        <v>11</v>
      </c>
      <c r="G629" s="3">
        <v>17</v>
      </c>
      <c r="H629" s="3">
        <v>0</v>
      </c>
      <c r="I629" s="3">
        <v>0</v>
      </c>
      <c r="J629" s="3">
        <v>0</v>
      </c>
      <c r="K629" s="3">
        <v>0</v>
      </c>
      <c r="L629" s="3" t="s">
        <v>17</v>
      </c>
      <c r="M629" s="3" t="s">
        <v>76</v>
      </c>
      <c r="N629" s="2"/>
      <c r="O629" s="2"/>
      <c r="P629" s="3" t="str">
        <f>IF(OR(COUNTIF('ثبت لیبل'!$B$11:$B$1010,TRIM(LEFT(C629,FIND("-",C629&amp;"-")-1)))&gt;0,COUNTIF('ثبت لیبل'!$B$11:$B$1010,SUBSTITUTE(TRIM(LEFT(C629,FIND("-",C629&amp;"-")-1)),"GD",""))&gt;0),"موجود","")</f>
        <v/>
      </c>
    </row>
    <row r="630" spans="1:16">
      <c r="A630" s="3">
        <v>629</v>
      </c>
      <c r="B630" s="3" t="s">
        <v>15</v>
      </c>
      <c r="C630" s="3" t="s">
        <v>664</v>
      </c>
      <c r="D630" s="3">
        <v>0.87</v>
      </c>
      <c r="E630" s="3">
        <v>750</v>
      </c>
      <c r="F630" s="3">
        <v>11</v>
      </c>
      <c r="G630" s="3">
        <v>17</v>
      </c>
      <c r="H630" s="3">
        <v>0</v>
      </c>
      <c r="I630" s="3">
        <v>0</v>
      </c>
      <c r="J630" s="3">
        <v>0</v>
      </c>
      <c r="K630" s="3">
        <v>0</v>
      </c>
      <c r="L630" s="3" t="s">
        <v>17</v>
      </c>
      <c r="M630" s="3" t="s">
        <v>76</v>
      </c>
      <c r="N630" s="2"/>
      <c r="O630" s="2"/>
      <c r="P630" s="3" t="str">
        <f>IF(OR(COUNTIF('ثبت لیبل'!$B$11:$B$1010,TRIM(LEFT(C630,FIND("-",C630&amp;"-")-1)))&gt;0,COUNTIF('ثبت لیبل'!$B$11:$B$1010,SUBSTITUTE(TRIM(LEFT(C630,FIND("-",C630&amp;"-")-1)),"GD",""))&gt;0),"موجود","")</f>
        <v/>
      </c>
    </row>
    <row r="631" spans="1:16">
      <c r="A631" s="3">
        <v>630</v>
      </c>
      <c r="B631" s="3" t="s">
        <v>15</v>
      </c>
      <c r="C631" s="3" t="s">
        <v>665</v>
      </c>
      <c r="D631" s="3">
        <v>1.38</v>
      </c>
      <c r="E631" s="3">
        <v>750</v>
      </c>
      <c r="F631" s="3">
        <v>11</v>
      </c>
      <c r="G631" s="3">
        <v>17</v>
      </c>
      <c r="H631" s="3">
        <v>0</v>
      </c>
      <c r="I631" s="3">
        <v>0</v>
      </c>
      <c r="J631" s="3">
        <v>0</v>
      </c>
      <c r="K631" s="3">
        <v>0</v>
      </c>
      <c r="L631" s="3" t="s">
        <v>17</v>
      </c>
      <c r="M631" s="3" t="s">
        <v>76</v>
      </c>
      <c r="N631" s="2"/>
      <c r="O631" s="2"/>
      <c r="P631" s="3" t="str">
        <f>IF(OR(COUNTIF('ثبت لیبل'!$B$11:$B$1010,TRIM(LEFT(C631,FIND("-",C631&amp;"-")-1)))&gt;0,COUNTIF('ثبت لیبل'!$B$11:$B$1010,SUBSTITUTE(TRIM(LEFT(C631,FIND("-",C631&amp;"-")-1)),"GD",""))&gt;0),"موجود","")</f>
        <v/>
      </c>
    </row>
    <row r="632" spans="1:16">
      <c r="A632" s="3">
        <v>631</v>
      </c>
      <c r="B632" s="3" t="s">
        <v>15</v>
      </c>
      <c r="C632" s="3" t="s">
        <v>666</v>
      </c>
      <c r="D632" s="3">
        <v>1.25</v>
      </c>
      <c r="E632" s="3">
        <v>750</v>
      </c>
      <c r="F632" s="3">
        <v>11</v>
      </c>
      <c r="G632" s="3">
        <v>17</v>
      </c>
      <c r="H632" s="3">
        <v>0</v>
      </c>
      <c r="I632" s="3">
        <v>0</v>
      </c>
      <c r="J632" s="3">
        <v>0</v>
      </c>
      <c r="K632" s="3">
        <v>0</v>
      </c>
      <c r="L632" s="3" t="s">
        <v>17</v>
      </c>
      <c r="M632" s="3" t="s">
        <v>76</v>
      </c>
      <c r="N632" s="2"/>
      <c r="O632" s="2"/>
      <c r="P632" s="3" t="str">
        <f>IF(OR(COUNTIF('ثبت لیبل'!$B$11:$B$1010,TRIM(LEFT(C632,FIND("-",C632&amp;"-")-1)))&gt;0,COUNTIF('ثبت لیبل'!$B$11:$B$1010,SUBSTITUTE(TRIM(LEFT(C632,FIND("-",C632&amp;"-")-1)),"GD",""))&gt;0),"موجود","")</f>
        <v/>
      </c>
    </row>
    <row r="633" spans="1:16">
      <c r="A633" s="3">
        <v>632</v>
      </c>
      <c r="B633" s="3" t="s">
        <v>15</v>
      </c>
      <c r="C633" s="3" t="s">
        <v>667</v>
      </c>
      <c r="D633" s="3">
        <v>1.05</v>
      </c>
      <c r="E633" s="3">
        <v>750</v>
      </c>
      <c r="F633" s="3">
        <v>11</v>
      </c>
      <c r="G633" s="3">
        <v>17</v>
      </c>
      <c r="H633" s="3">
        <v>0</v>
      </c>
      <c r="I633" s="3">
        <v>0</v>
      </c>
      <c r="J633" s="3">
        <v>0</v>
      </c>
      <c r="K633" s="3">
        <v>0</v>
      </c>
      <c r="L633" s="3" t="s">
        <v>17</v>
      </c>
      <c r="M633" s="3" t="s">
        <v>76</v>
      </c>
      <c r="N633" s="2"/>
      <c r="O633" s="2"/>
      <c r="P633" s="3" t="str">
        <f>IF(OR(COUNTIF('ثبت لیبل'!$B$11:$B$1010,TRIM(LEFT(C633,FIND("-",C633&amp;"-")-1)))&gt;0,COUNTIF('ثبت لیبل'!$B$11:$B$1010,SUBSTITUTE(TRIM(LEFT(C633,FIND("-",C633&amp;"-")-1)),"GD",""))&gt;0),"موجود","")</f>
        <v/>
      </c>
    </row>
    <row r="634" spans="1:16">
      <c r="A634" s="3">
        <v>633</v>
      </c>
      <c r="B634" s="3" t="s">
        <v>15</v>
      </c>
      <c r="C634" s="3" t="s">
        <v>668</v>
      </c>
      <c r="D634" s="3">
        <v>0.85</v>
      </c>
      <c r="E634" s="3">
        <v>750</v>
      </c>
      <c r="F634" s="3">
        <v>11</v>
      </c>
      <c r="G634" s="3">
        <v>17</v>
      </c>
      <c r="H634" s="3">
        <v>0</v>
      </c>
      <c r="I634" s="3">
        <v>0</v>
      </c>
      <c r="J634" s="3">
        <v>0</v>
      </c>
      <c r="K634" s="3">
        <v>0</v>
      </c>
      <c r="L634" s="3" t="s">
        <v>17</v>
      </c>
      <c r="M634" s="3" t="s">
        <v>76</v>
      </c>
      <c r="N634" s="2"/>
      <c r="O634" s="2"/>
      <c r="P634" s="3" t="str">
        <f>IF(OR(COUNTIF('ثبت لیبل'!$B$11:$B$1010,TRIM(LEFT(C634,FIND("-",C634&amp;"-")-1)))&gt;0,COUNTIF('ثبت لیبل'!$B$11:$B$1010,SUBSTITUTE(TRIM(LEFT(C634,FIND("-",C634&amp;"-")-1)),"GD",""))&gt;0),"موجود","")</f>
        <v/>
      </c>
    </row>
    <row r="635" spans="1:16">
      <c r="A635" s="3">
        <v>634</v>
      </c>
      <c r="B635" s="3" t="s">
        <v>15</v>
      </c>
      <c r="C635" s="3" t="s">
        <v>669</v>
      </c>
      <c r="D635" s="3">
        <v>1.08</v>
      </c>
      <c r="E635" s="3">
        <v>750</v>
      </c>
      <c r="F635" s="3">
        <v>11</v>
      </c>
      <c r="G635" s="3">
        <v>17</v>
      </c>
      <c r="H635" s="3">
        <v>0</v>
      </c>
      <c r="I635" s="3">
        <v>0</v>
      </c>
      <c r="J635" s="3">
        <v>0</v>
      </c>
      <c r="K635" s="3">
        <v>0</v>
      </c>
      <c r="L635" s="3" t="s">
        <v>17</v>
      </c>
      <c r="M635" s="3" t="s">
        <v>76</v>
      </c>
      <c r="N635" s="2"/>
      <c r="O635" s="2"/>
      <c r="P635" s="3" t="str">
        <f>IF(OR(COUNTIF('ثبت لیبل'!$B$11:$B$1010,TRIM(LEFT(C635,FIND("-",C635&amp;"-")-1)))&gt;0,COUNTIF('ثبت لیبل'!$B$11:$B$1010,SUBSTITUTE(TRIM(LEFT(C635,FIND("-",C635&amp;"-")-1)),"GD",""))&gt;0),"موجود","")</f>
        <v/>
      </c>
    </row>
    <row r="636" spans="1:16">
      <c r="A636" s="3">
        <v>635</v>
      </c>
      <c r="B636" s="3" t="s">
        <v>15</v>
      </c>
      <c r="C636" s="3" t="s">
        <v>670</v>
      </c>
      <c r="D636" s="3">
        <v>1.18</v>
      </c>
      <c r="E636" s="3">
        <v>750</v>
      </c>
      <c r="F636" s="3">
        <v>11</v>
      </c>
      <c r="G636" s="3">
        <v>17</v>
      </c>
      <c r="H636" s="3">
        <v>0</v>
      </c>
      <c r="I636" s="3">
        <v>0</v>
      </c>
      <c r="J636" s="3">
        <v>0</v>
      </c>
      <c r="K636" s="3">
        <v>0</v>
      </c>
      <c r="L636" s="3" t="s">
        <v>17</v>
      </c>
      <c r="M636" s="3" t="s">
        <v>76</v>
      </c>
      <c r="N636" s="2"/>
      <c r="O636" s="2"/>
      <c r="P636" s="3" t="str">
        <f>IF(OR(COUNTIF('ثبت لیبل'!$B$11:$B$1010,TRIM(LEFT(C636,FIND("-",C636&amp;"-")-1)))&gt;0,COUNTIF('ثبت لیبل'!$B$11:$B$1010,SUBSTITUTE(TRIM(LEFT(C636,FIND("-",C636&amp;"-")-1)),"GD",""))&gt;0),"موجود","")</f>
        <v/>
      </c>
    </row>
    <row r="637" spans="1:16">
      <c r="A637" s="3">
        <v>636</v>
      </c>
      <c r="B637" s="3" t="s">
        <v>15</v>
      </c>
      <c r="C637" s="3" t="s">
        <v>671</v>
      </c>
      <c r="D637" s="3">
        <v>0.84</v>
      </c>
      <c r="E637" s="3">
        <v>750</v>
      </c>
      <c r="F637" s="3">
        <v>11</v>
      </c>
      <c r="G637" s="3">
        <v>17</v>
      </c>
      <c r="H637" s="3">
        <v>0</v>
      </c>
      <c r="I637" s="3">
        <v>0</v>
      </c>
      <c r="J637" s="3">
        <v>0</v>
      </c>
      <c r="K637" s="3">
        <v>0</v>
      </c>
      <c r="L637" s="3" t="s">
        <v>17</v>
      </c>
      <c r="M637" s="3" t="s">
        <v>76</v>
      </c>
      <c r="N637" s="2"/>
      <c r="O637" s="2"/>
      <c r="P637" s="3" t="str">
        <f>IF(OR(COUNTIF('ثبت لیبل'!$B$11:$B$1010,TRIM(LEFT(C637,FIND("-",C637&amp;"-")-1)))&gt;0,COUNTIF('ثبت لیبل'!$B$11:$B$1010,SUBSTITUTE(TRIM(LEFT(C637,FIND("-",C637&amp;"-")-1)),"GD",""))&gt;0),"موجود","")</f>
        <v/>
      </c>
    </row>
    <row r="638" spans="1:16">
      <c r="A638" s="3">
        <v>637</v>
      </c>
      <c r="B638" s="3" t="s">
        <v>232</v>
      </c>
      <c r="C638" s="3" t="s">
        <v>672</v>
      </c>
      <c r="D638" s="3">
        <v>0.2</v>
      </c>
      <c r="E638" s="3">
        <v>750</v>
      </c>
      <c r="F638" s="3">
        <v>0</v>
      </c>
      <c r="G638" s="3">
        <v>0</v>
      </c>
      <c r="H638" s="3">
        <v>0</v>
      </c>
      <c r="I638" s="3">
        <v>0</v>
      </c>
      <c r="J638" s="4">
        <v>440000</v>
      </c>
      <c r="K638" s="4">
        <v>968000</v>
      </c>
      <c r="L638" s="2"/>
      <c r="M638" s="3" t="s">
        <v>587</v>
      </c>
      <c r="N638" s="3" t="s">
        <v>673</v>
      </c>
      <c r="O638" s="2"/>
      <c r="P638" s="3" t="str">
        <f>IF(OR(COUNTIF('ثبت لیبل'!$B$11:$B$1010,TRIM(LEFT(C638,FIND("-",C638&amp;"-")-1)))&gt;0,COUNTIF('ثبت لیبل'!$B$11:$B$1010,SUBSTITUTE(TRIM(LEFT(C638,FIND("-",C638&amp;"-")-1)),"GD",""))&gt;0),"موجود","")</f>
        <v/>
      </c>
    </row>
    <row r="639" spans="1:16">
      <c r="A639" s="3">
        <v>638</v>
      </c>
      <c r="B639" s="3" t="s">
        <v>232</v>
      </c>
      <c r="C639" s="3" t="s">
        <v>674</v>
      </c>
      <c r="D639" s="3">
        <v>0.15</v>
      </c>
      <c r="E639" s="3">
        <v>750</v>
      </c>
      <c r="F639" s="3">
        <v>0</v>
      </c>
      <c r="G639" s="3">
        <v>0</v>
      </c>
      <c r="H639" s="3">
        <v>0</v>
      </c>
      <c r="I639" s="3">
        <v>0</v>
      </c>
      <c r="J639" s="4">
        <v>440000</v>
      </c>
      <c r="K639" s="4">
        <v>968000</v>
      </c>
      <c r="L639" s="2"/>
      <c r="M639" s="3" t="s">
        <v>587</v>
      </c>
      <c r="N639" s="3" t="s">
        <v>675</v>
      </c>
      <c r="O639" s="2"/>
      <c r="P639" s="3" t="str">
        <f>IF(OR(COUNTIF('ثبت لیبل'!$B$11:$B$1010,TRIM(LEFT(C639,FIND("-",C639&amp;"-")-1)))&gt;0,COUNTIF('ثبت لیبل'!$B$11:$B$1010,SUBSTITUTE(TRIM(LEFT(C639,FIND("-",C639&amp;"-")-1)),"GD",""))&gt;0),"موجود","")</f>
        <v/>
      </c>
    </row>
    <row r="640" spans="1:16">
      <c r="A640" s="3">
        <v>639</v>
      </c>
      <c r="B640" s="3" t="s">
        <v>232</v>
      </c>
      <c r="C640" s="3" t="s">
        <v>676</v>
      </c>
      <c r="D640" s="3">
        <v>7.0000000000000007E-2</v>
      </c>
      <c r="E640" s="3">
        <v>750</v>
      </c>
      <c r="F640" s="3">
        <v>0</v>
      </c>
      <c r="G640" s="3">
        <v>0</v>
      </c>
      <c r="H640" s="3">
        <v>0</v>
      </c>
      <c r="I640" s="3">
        <v>0</v>
      </c>
      <c r="J640" s="4">
        <v>440000</v>
      </c>
      <c r="K640" s="4">
        <v>968000</v>
      </c>
      <c r="L640" s="2"/>
      <c r="M640" s="3" t="s">
        <v>587</v>
      </c>
      <c r="N640" s="3" t="s">
        <v>677</v>
      </c>
      <c r="O640" s="2"/>
      <c r="P640" s="3" t="str">
        <f>IF(OR(COUNTIF('ثبت لیبل'!$B$11:$B$1010,TRIM(LEFT(C640,FIND("-",C640&amp;"-")-1)))&gt;0,COUNTIF('ثبت لیبل'!$B$11:$B$1010,SUBSTITUTE(TRIM(LEFT(C640,FIND("-",C640&amp;"-")-1)),"GD",""))&gt;0),"موجود","")</f>
        <v/>
      </c>
    </row>
    <row r="641" spans="1:16">
      <c r="A641" s="3">
        <v>640</v>
      </c>
      <c r="B641" s="3" t="s">
        <v>232</v>
      </c>
      <c r="C641" s="3" t="s">
        <v>678</v>
      </c>
      <c r="D641" s="3">
        <v>0.04</v>
      </c>
      <c r="E641" s="3">
        <v>750</v>
      </c>
      <c r="F641" s="3">
        <v>0</v>
      </c>
      <c r="G641" s="3">
        <v>0</v>
      </c>
      <c r="H641" s="3">
        <v>0</v>
      </c>
      <c r="I641" s="3">
        <v>0</v>
      </c>
      <c r="J641" s="4">
        <v>440000</v>
      </c>
      <c r="K641" s="4">
        <v>968000</v>
      </c>
      <c r="L641" s="2"/>
      <c r="M641" s="3" t="s">
        <v>587</v>
      </c>
      <c r="N641" s="3" t="s">
        <v>679</v>
      </c>
      <c r="O641" s="2"/>
      <c r="P641" s="3" t="str">
        <f>IF(OR(COUNTIF('ثبت لیبل'!$B$11:$B$1010,TRIM(LEFT(C641,FIND("-",C641&amp;"-")-1)))&gt;0,COUNTIF('ثبت لیبل'!$B$11:$B$1010,SUBSTITUTE(TRIM(LEFT(C641,FIND("-",C641&amp;"-")-1)),"GD",""))&gt;0),"موجود","")</f>
        <v/>
      </c>
    </row>
    <row r="642" spans="1:16">
      <c r="A642" s="3">
        <v>641</v>
      </c>
      <c r="B642" s="3" t="s">
        <v>232</v>
      </c>
      <c r="C642" s="3" t="s">
        <v>680</v>
      </c>
      <c r="D642" s="3">
        <v>0.03</v>
      </c>
      <c r="E642" s="3">
        <v>750</v>
      </c>
      <c r="F642" s="3">
        <v>0</v>
      </c>
      <c r="G642" s="3">
        <v>0</v>
      </c>
      <c r="H642" s="3">
        <v>0</v>
      </c>
      <c r="I642" s="3">
        <v>0</v>
      </c>
      <c r="J642" s="4">
        <v>440000</v>
      </c>
      <c r="K642" s="4">
        <v>968000</v>
      </c>
      <c r="L642" s="2"/>
      <c r="M642" s="3" t="s">
        <v>587</v>
      </c>
      <c r="N642" s="3" t="s">
        <v>681</v>
      </c>
      <c r="O642" s="2"/>
      <c r="P642" s="3" t="str">
        <f>IF(OR(COUNTIF('ثبت لیبل'!$B$11:$B$1010,TRIM(LEFT(C642,FIND("-",C642&amp;"-")-1)))&gt;0,COUNTIF('ثبت لیبل'!$B$11:$B$1010,SUBSTITUTE(TRIM(LEFT(C642,FIND("-",C642&amp;"-")-1)),"GD",""))&gt;0),"موجود","")</f>
        <v/>
      </c>
    </row>
    <row r="643" spans="1:16">
      <c r="A643" s="3">
        <v>642</v>
      </c>
      <c r="B643" s="3" t="s">
        <v>232</v>
      </c>
      <c r="C643" s="3" t="s">
        <v>682</v>
      </c>
      <c r="D643" s="3">
        <v>0.03</v>
      </c>
      <c r="E643" s="3">
        <v>750</v>
      </c>
      <c r="F643" s="3">
        <v>0</v>
      </c>
      <c r="G643" s="3">
        <v>0</v>
      </c>
      <c r="H643" s="3">
        <v>0</v>
      </c>
      <c r="I643" s="3">
        <v>0</v>
      </c>
      <c r="J643" s="4">
        <v>440000</v>
      </c>
      <c r="K643" s="4">
        <v>968000</v>
      </c>
      <c r="L643" s="2"/>
      <c r="M643" s="3" t="s">
        <v>587</v>
      </c>
      <c r="N643" s="3" t="s">
        <v>681</v>
      </c>
      <c r="O643" s="2"/>
      <c r="P643" s="3" t="str">
        <f>IF(OR(COUNTIF('ثبت لیبل'!$B$11:$B$1010,TRIM(LEFT(C643,FIND("-",C643&amp;"-")-1)))&gt;0,COUNTIF('ثبت لیبل'!$B$11:$B$1010,SUBSTITUTE(TRIM(LEFT(C643,FIND("-",C643&amp;"-")-1)),"GD",""))&gt;0),"موجود","")</f>
        <v/>
      </c>
    </row>
    <row r="644" spans="1:16">
      <c r="A644" s="3">
        <v>643</v>
      </c>
      <c r="B644" s="3" t="s">
        <v>232</v>
      </c>
      <c r="C644" s="3" t="s">
        <v>683</v>
      </c>
      <c r="D644" s="3">
        <v>0.03</v>
      </c>
      <c r="E644" s="3">
        <v>750</v>
      </c>
      <c r="F644" s="3">
        <v>0</v>
      </c>
      <c r="G644" s="3">
        <v>0</v>
      </c>
      <c r="H644" s="3">
        <v>0</v>
      </c>
      <c r="I644" s="3">
        <v>0</v>
      </c>
      <c r="J644" s="4">
        <v>440000</v>
      </c>
      <c r="K644" s="4">
        <v>968000</v>
      </c>
      <c r="L644" s="2"/>
      <c r="M644" s="3" t="s">
        <v>587</v>
      </c>
      <c r="N644" s="3" t="s">
        <v>681</v>
      </c>
      <c r="O644" s="2"/>
      <c r="P644" s="3" t="str">
        <f>IF(OR(COUNTIF('ثبت لیبل'!$B$11:$B$1010,TRIM(LEFT(C644,FIND("-",C644&amp;"-")-1)))&gt;0,COUNTIF('ثبت لیبل'!$B$11:$B$1010,SUBSTITUTE(TRIM(LEFT(C644,FIND("-",C644&amp;"-")-1)),"GD",""))&gt;0),"موجود","")</f>
        <v/>
      </c>
    </row>
    <row r="645" spans="1:16">
      <c r="A645" s="3">
        <v>644</v>
      </c>
      <c r="B645" s="3" t="s">
        <v>232</v>
      </c>
      <c r="C645" s="3" t="s">
        <v>684</v>
      </c>
      <c r="D645" s="3">
        <v>0.9</v>
      </c>
      <c r="E645" s="3">
        <v>750</v>
      </c>
      <c r="F645" s="3">
        <v>0</v>
      </c>
      <c r="G645" s="3">
        <v>0</v>
      </c>
      <c r="H645" s="3">
        <v>0</v>
      </c>
      <c r="I645" s="3">
        <v>0</v>
      </c>
      <c r="J645" s="4">
        <v>440000</v>
      </c>
      <c r="K645" s="4">
        <v>968000</v>
      </c>
      <c r="L645" s="2"/>
      <c r="M645" s="3" t="s">
        <v>587</v>
      </c>
      <c r="N645" s="3" t="s">
        <v>685</v>
      </c>
      <c r="O645" s="2"/>
      <c r="P645" s="3" t="str">
        <f>IF(OR(COUNTIF('ثبت لیبل'!$B$11:$B$1010,TRIM(LEFT(C645,FIND("-",C645&amp;"-")-1)))&gt;0,COUNTIF('ثبت لیبل'!$B$11:$B$1010,SUBSTITUTE(TRIM(LEFT(C645,FIND("-",C645&amp;"-")-1)),"GD",""))&gt;0),"موجود","")</f>
        <v/>
      </c>
    </row>
    <row r="646" spans="1:16">
      <c r="A646" s="3">
        <v>645</v>
      </c>
      <c r="B646" s="3" t="s">
        <v>232</v>
      </c>
      <c r="C646" s="3" t="s">
        <v>686</v>
      </c>
      <c r="D646" s="3">
        <v>0.8</v>
      </c>
      <c r="E646" s="3">
        <v>750</v>
      </c>
      <c r="F646" s="3">
        <v>0</v>
      </c>
      <c r="G646" s="3">
        <v>0</v>
      </c>
      <c r="H646" s="3">
        <v>0</v>
      </c>
      <c r="I646" s="3">
        <v>0</v>
      </c>
      <c r="J646" s="4">
        <v>440000</v>
      </c>
      <c r="K646" s="4">
        <v>968000</v>
      </c>
      <c r="L646" s="2"/>
      <c r="M646" s="3" t="s">
        <v>587</v>
      </c>
      <c r="N646" s="3" t="s">
        <v>687</v>
      </c>
      <c r="O646" s="2"/>
      <c r="P646" s="3" t="str">
        <f>IF(OR(COUNTIF('ثبت لیبل'!$B$11:$B$1010,TRIM(LEFT(C646,FIND("-",C646&amp;"-")-1)))&gt;0,COUNTIF('ثبت لیبل'!$B$11:$B$1010,SUBSTITUTE(TRIM(LEFT(C646,FIND("-",C646&amp;"-")-1)),"GD",""))&gt;0),"موجود","")</f>
        <v/>
      </c>
    </row>
    <row r="647" spans="1:16">
      <c r="A647" s="3">
        <v>646</v>
      </c>
      <c r="B647" s="3" t="s">
        <v>492</v>
      </c>
      <c r="C647" s="3" t="s">
        <v>688</v>
      </c>
      <c r="D647" s="3">
        <v>0.19</v>
      </c>
      <c r="E647" s="3">
        <v>750</v>
      </c>
      <c r="F647" s="3">
        <v>6</v>
      </c>
      <c r="G647" s="3">
        <v>12</v>
      </c>
      <c r="H647" s="3">
        <v>0</v>
      </c>
      <c r="I647" s="3">
        <v>0</v>
      </c>
      <c r="J647" s="4">
        <v>6600000</v>
      </c>
      <c r="K647" s="4">
        <v>14520000</v>
      </c>
      <c r="L647" s="2"/>
      <c r="M647" s="3" t="s">
        <v>46</v>
      </c>
      <c r="N647" s="2"/>
      <c r="O647" s="2"/>
      <c r="P647" s="3" t="str">
        <f>IF(OR(COUNTIF('ثبت لیبل'!$B$11:$B$1010,TRIM(LEFT(C647,FIND("-",C647&amp;"-")-1)))&gt;0,COUNTIF('ثبت لیبل'!$B$11:$B$1010,SUBSTITUTE(TRIM(LEFT(C647,FIND("-",C647&amp;"-")-1)),"GD",""))&gt;0),"موجود","")</f>
        <v/>
      </c>
    </row>
    <row r="648" spans="1:16">
      <c r="A648" s="3">
        <v>647</v>
      </c>
      <c r="B648" s="3" t="s">
        <v>492</v>
      </c>
      <c r="C648" s="3" t="s">
        <v>689</v>
      </c>
      <c r="D648" s="3">
        <v>0.28000000000000003</v>
      </c>
      <c r="E648" s="3">
        <v>750</v>
      </c>
      <c r="F648" s="3">
        <v>14</v>
      </c>
      <c r="G648" s="3">
        <v>20</v>
      </c>
      <c r="H648" s="3">
        <v>0</v>
      </c>
      <c r="I648" s="3">
        <v>0</v>
      </c>
      <c r="J648" s="4">
        <v>2200000</v>
      </c>
      <c r="K648" s="4">
        <v>4840000</v>
      </c>
      <c r="L648" s="2"/>
      <c r="M648" s="3" t="s">
        <v>46</v>
      </c>
      <c r="N648" s="2"/>
      <c r="O648" s="2"/>
      <c r="P648" s="3" t="str">
        <f>IF(OR(COUNTIF('ثبت لیبل'!$B$11:$B$1010,TRIM(LEFT(C648,FIND("-",C648&amp;"-")-1)))&gt;0,COUNTIF('ثبت لیبل'!$B$11:$B$1010,SUBSTITUTE(TRIM(LEFT(C648,FIND("-",C648&amp;"-")-1)),"GD",""))&gt;0),"موجود","")</f>
        <v/>
      </c>
    </row>
    <row r="649" spans="1:16">
      <c r="A649" s="3">
        <v>648</v>
      </c>
      <c r="B649" s="3" t="s">
        <v>492</v>
      </c>
      <c r="C649" s="3" t="s">
        <v>690</v>
      </c>
      <c r="D649" s="3">
        <v>0.28000000000000003</v>
      </c>
      <c r="E649" s="3">
        <v>750</v>
      </c>
      <c r="F649" s="3">
        <v>14</v>
      </c>
      <c r="G649" s="3">
        <v>20</v>
      </c>
      <c r="H649" s="3">
        <v>0</v>
      </c>
      <c r="I649" s="3">
        <v>0</v>
      </c>
      <c r="J649" s="4">
        <v>2200000</v>
      </c>
      <c r="K649" s="4">
        <v>4840000</v>
      </c>
      <c r="L649" s="2"/>
      <c r="M649" s="3" t="s">
        <v>46</v>
      </c>
      <c r="N649" s="2"/>
      <c r="O649" s="2"/>
      <c r="P649" s="3" t="str">
        <f>IF(OR(COUNTIF('ثبت لیبل'!$B$11:$B$1010,TRIM(LEFT(C649,FIND("-",C649&amp;"-")-1)))&gt;0,COUNTIF('ثبت لیبل'!$B$11:$B$1010,SUBSTITUTE(TRIM(LEFT(C649,FIND("-",C649&amp;"-")-1)),"GD",""))&gt;0),"موجود","")</f>
        <v/>
      </c>
    </row>
    <row r="650" spans="1:16">
      <c r="A650" s="3">
        <v>649</v>
      </c>
      <c r="B650" s="3" t="s">
        <v>492</v>
      </c>
      <c r="C650" s="3" t="s">
        <v>691</v>
      </c>
      <c r="D650" s="3">
        <v>0.28000000000000003</v>
      </c>
      <c r="E650" s="3">
        <v>750</v>
      </c>
      <c r="F650" s="3">
        <v>14</v>
      </c>
      <c r="G650" s="3">
        <v>20</v>
      </c>
      <c r="H650" s="3">
        <v>0</v>
      </c>
      <c r="I650" s="3">
        <v>0</v>
      </c>
      <c r="J650" s="4">
        <v>2200000</v>
      </c>
      <c r="K650" s="4">
        <v>4840000</v>
      </c>
      <c r="L650" s="2"/>
      <c r="M650" s="3" t="s">
        <v>46</v>
      </c>
      <c r="N650" s="2"/>
      <c r="O650" s="2"/>
      <c r="P650" s="3" t="str">
        <f>IF(OR(COUNTIF('ثبت لیبل'!$B$11:$B$1010,TRIM(LEFT(C650,FIND("-",C650&amp;"-")-1)))&gt;0,COUNTIF('ثبت لیبل'!$B$11:$B$1010,SUBSTITUTE(TRIM(LEFT(C650,FIND("-",C650&amp;"-")-1)),"GD",""))&gt;0),"موجود","")</f>
        <v/>
      </c>
    </row>
    <row r="651" spans="1:16">
      <c r="A651" s="3">
        <v>650</v>
      </c>
      <c r="B651" s="3" t="s">
        <v>492</v>
      </c>
      <c r="C651" s="3" t="s">
        <v>692</v>
      </c>
      <c r="D651" s="3">
        <v>0.17</v>
      </c>
      <c r="E651" s="3">
        <v>750</v>
      </c>
      <c r="F651" s="3">
        <v>6</v>
      </c>
      <c r="G651" s="3">
        <v>12</v>
      </c>
      <c r="H651" s="3">
        <v>0</v>
      </c>
      <c r="I651" s="3">
        <v>0</v>
      </c>
      <c r="J651" s="4">
        <v>6600000</v>
      </c>
      <c r="K651" s="4">
        <v>14520000</v>
      </c>
      <c r="L651" s="2"/>
      <c r="M651" s="3" t="s">
        <v>46</v>
      </c>
      <c r="N651" s="2"/>
      <c r="O651" s="2"/>
      <c r="P651" s="3" t="str">
        <f>IF(OR(COUNTIF('ثبت لیبل'!$B$11:$B$1010,TRIM(LEFT(C651,FIND("-",C651&amp;"-")-1)))&gt;0,COUNTIF('ثبت لیبل'!$B$11:$B$1010,SUBSTITUTE(TRIM(LEFT(C651,FIND("-",C651&amp;"-")-1)),"GD",""))&gt;0),"موجود","")</f>
        <v/>
      </c>
    </row>
    <row r="652" spans="1:16">
      <c r="A652" s="3">
        <v>651</v>
      </c>
      <c r="B652" s="3" t="s">
        <v>492</v>
      </c>
      <c r="C652" s="3" t="s">
        <v>693</v>
      </c>
      <c r="D652" s="3">
        <v>0.18</v>
      </c>
      <c r="E652" s="3">
        <v>750</v>
      </c>
      <c r="F652" s="3">
        <v>6</v>
      </c>
      <c r="G652" s="3">
        <v>12</v>
      </c>
      <c r="H652" s="3">
        <v>0</v>
      </c>
      <c r="I652" s="3">
        <v>0</v>
      </c>
      <c r="J652" s="4">
        <v>6600000</v>
      </c>
      <c r="K652" s="4">
        <v>14520000</v>
      </c>
      <c r="L652" s="2"/>
      <c r="M652" s="3" t="s">
        <v>46</v>
      </c>
      <c r="N652" s="2"/>
      <c r="O652" s="2"/>
      <c r="P652" s="3" t="str">
        <f>IF(OR(COUNTIF('ثبت لیبل'!$B$11:$B$1010,TRIM(LEFT(C652,FIND("-",C652&amp;"-")-1)))&gt;0,COUNTIF('ثبت لیبل'!$B$11:$B$1010,SUBSTITUTE(TRIM(LEFT(C652,FIND("-",C652&amp;"-")-1)),"GD",""))&gt;0),"موجود","")</f>
        <v/>
      </c>
    </row>
    <row r="653" spans="1:16">
      <c r="A653" s="3">
        <v>652</v>
      </c>
      <c r="B653" s="3" t="s">
        <v>492</v>
      </c>
      <c r="C653" s="3" t="s">
        <v>694</v>
      </c>
      <c r="D653" s="3">
        <v>0.18</v>
      </c>
      <c r="E653" s="3">
        <v>750</v>
      </c>
      <c r="F653" s="3">
        <v>6</v>
      </c>
      <c r="G653" s="3">
        <v>12</v>
      </c>
      <c r="H653" s="3">
        <v>0</v>
      </c>
      <c r="I653" s="3">
        <v>0</v>
      </c>
      <c r="J653" s="4">
        <v>6600000</v>
      </c>
      <c r="K653" s="4">
        <v>14520000</v>
      </c>
      <c r="L653" s="2"/>
      <c r="M653" s="3" t="s">
        <v>46</v>
      </c>
      <c r="N653" s="2"/>
      <c r="O653" s="2"/>
      <c r="P653" s="3" t="str">
        <f>IF(OR(COUNTIF('ثبت لیبل'!$B$11:$B$1010,TRIM(LEFT(C653,FIND("-",C653&amp;"-")-1)))&gt;0,COUNTIF('ثبت لیبل'!$B$11:$B$1010,SUBSTITUTE(TRIM(LEFT(C653,FIND("-",C653&amp;"-")-1)),"GD",""))&gt;0),"موجود","")</f>
        <v/>
      </c>
    </row>
    <row r="654" spans="1:16">
      <c r="A654" s="3">
        <v>653</v>
      </c>
      <c r="B654" s="3" t="s">
        <v>492</v>
      </c>
      <c r="C654" s="3" t="s">
        <v>695</v>
      </c>
      <c r="D654" s="3">
        <v>0.18</v>
      </c>
      <c r="E654" s="3">
        <v>750</v>
      </c>
      <c r="F654" s="3">
        <v>6</v>
      </c>
      <c r="G654" s="3">
        <v>12</v>
      </c>
      <c r="H654" s="3">
        <v>0</v>
      </c>
      <c r="I654" s="3">
        <v>0</v>
      </c>
      <c r="J654" s="4">
        <v>6600000</v>
      </c>
      <c r="K654" s="4">
        <v>14520000</v>
      </c>
      <c r="L654" s="2"/>
      <c r="M654" s="3" t="s">
        <v>46</v>
      </c>
      <c r="N654" s="2"/>
      <c r="O654" s="2"/>
      <c r="P654" s="3" t="str">
        <f>IF(OR(COUNTIF('ثبت لیبل'!$B$11:$B$1010,TRIM(LEFT(C654,FIND("-",C654&amp;"-")-1)))&gt;0,COUNTIF('ثبت لیبل'!$B$11:$B$1010,SUBSTITUTE(TRIM(LEFT(C654,FIND("-",C654&amp;"-")-1)),"GD",""))&gt;0),"موجود","")</f>
        <v/>
      </c>
    </row>
    <row r="655" spans="1:16">
      <c r="A655" s="3">
        <v>654</v>
      </c>
      <c r="B655" s="3" t="s">
        <v>492</v>
      </c>
      <c r="C655" s="3" t="s">
        <v>696</v>
      </c>
      <c r="D655" s="3">
        <v>0.18</v>
      </c>
      <c r="E655" s="3">
        <v>750</v>
      </c>
      <c r="F655" s="3">
        <v>6</v>
      </c>
      <c r="G655" s="3">
        <v>12</v>
      </c>
      <c r="H655" s="3">
        <v>0</v>
      </c>
      <c r="I655" s="3">
        <v>0</v>
      </c>
      <c r="J655" s="4">
        <v>6600000</v>
      </c>
      <c r="K655" s="4">
        <v>14520000</v>
      </c>
      <c r="L655" s="2"/>
      <c r="M655" s="3" t="s">
        <v>46</v>
      </c>
      <c r="N655" s="2"/>
      <c r="O655" s="2"/>
      <c r="P655" s="3" t="str">
        <f>IF(OR(COUNTIF('ثبت لیبل'!$B$11:$B$1010,TRIM(LEFT(C655,FIND("-",C655&amp;"-")-1)))&gt;0,COUNTIF('ثبت لیبل'!$B$11:$B$1010,SUBSTITUTE(TRIM(LEFT(C655,FIND("-",C655&amp;"-")-1)),"GD",""))&gt;0),"موجود","")</f>
        <v/>
      </c>
    </row>
    <row r="656" spans="1:16">
      <c r="A656" s="3">
        <v>655</v>
      </c>
      <c r="B656" s="3" t="s">
        <v>492</v>
      </c>
      <c r="C656" s="3" t="s">
        <v>697</v>
      </c>
      <c r="D656" s="3">
        <v>0.17</v>
      </c>
      <c r="E656" s="3">
        <v>750</v>
      </c>
      <c r="F656" s="3">
        <v>6</v>
      </c>
      <c r="G656" s="3">
        <v>12</v>
      </c>
      <c r="H656" s="3">
        <v>0</v>
      </c>
      <c r="I656" s="3">
        <v>0</v>
      </c>
      <c r="J656" s="4">
        <v>6600000</v>
      </c>
      <c r="K656" s="4">
        <v>14520000</v>
      </c>
      <c r="L656" s="2"/>
      <c r="M656" s="3" t="s">
        <v>46</v>
      </c>
      <c r="N656" s="2"/>
      <c r="O656" s="2"/>
      <c r="P656" s="3" t="str">
        <f>IF(OR(COUNTIF('ثبت لیبل'!$B$11:$B$1010,TRIM(LEFT(C656,FIND("-",C656&amp;"-")-1)))&gt;0,COUNTIF('ثبت لیبل'!$B$11:$B$1010,SUBSTITUTE(TRIM(LEFT(C656,FIND("-",C656&amp;"-")-1)),"GD",""))&gt;0),"موجود","")</f>
        <v/>
      </c>
    </row>
    <row r="657" spans="1:16">
      <c r="A657" s="3">
        <v>656</v>
      </c>
      <c r="B657" s="3" t="s">
        <v>492</v>
      </c>
      <c r="C657" s="3" t="s">
        <v>698</v>
      </c>
      <c r="D657" s="3">
        <v>0.18</v>
      </c>
      <c r="E657" s="3">
        <v>750</v>
      </c>
      <c r="F657" s="3">
        <v>6</v>
      </c>
      <c r="G657" s="3">
        <v>12</v>
      </c>
      <c r="H657" s="3">
        <v>0</v>
      </c>
      <c r="I657" s="3">
        <v>0</v>
      </c>
      <c r="J657" s="4">
        <v>6600000</v>
      </c>
      <c r="K657" s="4">
        <v>14520000</v>
      </c>
      <c r="L657" s="2"/>
      <c r="M657" s="3" t="s">
        <v>46</v>
      </c>
      <c r="N657" s="2"/>
      <c r="O657" s="2"/>
      <c r="P657" s="3" t="str">
        <f>IF(OR(COUNTIF('ثبت لیبل'!$B$11:$B$1010,TRIM(LEFT(C657,FIND("-",C657&amp;"-")-1)))&gt;0,COUNTIF('ثبت لیبل'!$B$11:$B$1010,SUBSTITUTE(TRIM(LEFT(C657,FIND("-",C657&amp;"-")-1)),"GD",""))&gt;0),"موجود","")</f>
        <v/>
      </c>
    </row>
    <row r="658" spans="1:16">
      <c r="A658" s="3">
        <v>657</v>
      </c>
      <c r="B658" s="3" t="s">
        <v>492</v>
      </c>
      <c r="C658" s="3" t="s">
        <v>699</v>
      </c>
      <c r="D658" s="3">
        <v>0.18</v>
      </c>
      <c r="E658" s="3">
        <v>750</v>
      </c>
      <c r="F658" s="3">
        <v>6</v>
      </c>
      <c r="G658" s="3">
        <v>12</v>
      </c>
      <c r="H658" s="3">
        <v>0</v>
      </c>
      <c r="I658" s="3">
        <v>0</v>
      </c>
      <c r="J658" s="4">
        <v>6600000</v>
      </c>
      <c r="K658" s="4">
        <v>14520000</v>
      </c>
      <c r="L658" s="2"/>
      <c r="M658" s="3" t="s">
        <v>46</v>
      </c>
      <c r="N658" s="2"/>
      <c r="O658" s="2"/>
      <c r="P658" s="3" t="str">
        <f>IF(OR(COUNTIF('ثبت لیبل'!$B$11:$B$1010,TRIM(LEFT(C658,FIND("-",C658&amp;"-")-1)))&gt;0,COUNTIF('ثبت لیبل'!$B$11:$B$1010,SUBSTITUTE(TRIM(LEFT(C658,FIND("-",C658&amp;"-")-1)),"GD",""))&gt;0),"موجود","")</f>
        <v/>
      </c>
    </row>
    <row r="659" spans="1:16">
      <c r="A659" s="3">
        <v>658</v>
      </c>
      <c r="B659" s="3" t="s">
        <v>492</v>
      </c>
      <c r="C659" s="3" t="s">
        <v>700</v>
      </c>
      <c r="D659" s="3">
        <v>0.18</v>
      </c>
      <c r="E659" s="3">
        <v>750</v>
      </c>
      <c r="F659" s="3">
        <v>6</v>
      </c>
      <c r="G659" s="3">
        <v>12</v>
      </c>
      <c r="H659" s="3">
        <v>0</v>
      </c>
      <c r="I659" s="3">
        <v>0</v>
      </c>
      <c r="J659" s="4">
        <v>6600000</v>
      </c>
      <c r="K659" s="4">
        <v>14520000</v>
      </c>
      <c r="L659" s="2"/>
      <c r="M659" s="3" t="s">
        <v>46</v>
      </c>
      <c r="N659" s="2"/>
      <c r="O659" s="2"/>
      <c r="P659" s="3" t="str">
        <f>IF(OR(COUNTIF('ثبت لیبل'!$B$11:$B$1010,TRIM(LEFT(C659,FIND("-",C659&amp;"-")-1)))&gt;0,COUNTIF('ثبت لیبل'!$B$11:$B$1010,SUBSTITUTE(TRIM(LEFT(C659,FIND("-",C659&amp;"-")-1)),"GD",""))&gt;0),"موجود","")</f>
        <v/>
      </c>
    </row>
    <row r="660" spans="1:16">
      <c r="A660" s="3">
        <v>659</v>
      </c>
      <c r="B660" s="3" t="s">
        <v>701</v>
      </c>
      <c r="C660" s="3" t="s">
        <v>702</v>
      </c>
      <c r="D660" s="3">
        <v>4.66</v>
      </c>
      <c r="E660" s="3">
        <v>900</v>
      </c>
      <c r="F660" s="3">
        <v>0</v>
      </c>
      <c r="G660" s="3">
        <v>0</v>
      </c>
      <c r="H660" s="3">
        <v>0</v>
      </c>
      <c r="I660" s="3">
        <v>0</v>
      </c>
      <c r="J660" s="4">
        <v>5000000</v>
      </c>
      <c r="K660" s="4">
        <v>5000000</v>
      </c>
      <c r="L660" s="2"/>
      <c r="M660" s="2"/>
      <c r="N660" s="2"/>
      <c r="O660" s="2"/>
      <c r="P660" s="3" t="str">
        <f>IF(OR(COUNTIF('ثبت لیبل'!$B$11:$B$1010,TRIM(LEFT(C660,FIND("-",C660&amp;"-")-1)))&gt;0,COUNTIF('ثبت لیبل'!$B$11:$B$1010,SUBSTITUTE(TRIM(LEFT(C660,FIND("-",C660&amp;"-")-1)),"GD",""))&gt;0),"موجود","")</f>
        <v/>
      </c>
    </row>
    <row r="661" spans="1:16">
      <c r="A661" s="3">
        <v>660</v>
      </c>
      <c r="B661" s="3" t="s">
        <v>492</v>
      </c>
      <c r="C661" s="3" t="s">
        <v>703</v>
      </c>
      <c r="D661" s="3">
        <v>0.8</v>
      </c>
      <c r="E661" s="3">
        <v>750</v>
      </c>
      <c r="F661" s="3">
        <v>13</v>
      </c>
      <c r="G661" s="3">
        <v>13</v>
      </c>
      <c r="H661" s="3">
        <v>0</v>
      </c>
      <c r="I661" s="3">
        <v>0</v>
      </c>
      <c r="J661" s="3">
        <v>0</v>
      </c>
      <c r="K661" s="3">
        <v>0</v>
      </c>
      <c r="L661" s="3" t="s">
        <v>17</v>
      </c>
      <c r="M661" s="3" t="s">
        <v>60</v>
      </c>
      <c r="N661" s="2"/>
      <c r="O661" s="2"/>
      <c r="P661" s="3" t="str">
        <f>IF(OR(COUNTIF('ثبت لیبل'!$B$11:$B$1010,TRIM(LEFT(C661,FIND("-",C661&amp;"-")-1)))&gt;0,COUNTIF('ثبت لیبل'!$B$11:$B$1010,SUBSTITUTE(TRIM(LEFT(C661,FIND("-",C661&amp;"-")-1)),"GD",""))&gt;0),"موجود","")</f>
        <v/>
      </c>
    </row>
    <row r="662" spans="1:16">
      <c r="A662" s="3">
        <v>661</v>
      </c>
      <c r="B662" s="3" t="s">
        <v>492</v>
      </c>
      <c r="C662" s="3" t="s">
        <v>704</v>
      </c>
      <c r="D662" s="3">
        <v>0.89</v>
      </c>
      <c r="E662" s="3">
        <v>750</v>
      </c>
      <c r="F662" s="3">
        <v>13</v>
      </c>
      <c r="G662" s="3">
        <v>13</v>
      </c>
      <c r="H662" s="3">
        <v>0</v>
      </c>
      <c r="I662" s="3">
        <v>0</v>
      </c>
      <c r="J662" s="3">
        <v>0</v>
      </c>
      <c r="K662" s="3">
        <v>0</v>
      </c>
      <c r="L662" s="3" t="s">
        <v>17</v>
      </c>
      <c r="M662" s="3" t="s">
        <v>60</v>
      </c>
      <c r="N662" s="2"/>
      <c r="O662" s="2"/>
      <c r="P662" s="3" t="str">
        <f>IF(OR(COUNTIF('ثبت لیبل'!$B$11:$B$1010,TRIM(LEFT(C662,FIND("-",C662&amp;"-")-1)))&gt;0,COUNTIF('ثبت لیبل'!$B$11:$B$1010,SUBSTITUTE(TRIM(LEFT(C662,FIND("-",C662&amp;"-")-1)),"GD",""))&gt;0),"موجود","")</f>
        <v/>
      </c>
    </row>
    <row r="663" spans="1:16">
      <c r="A663" s="3">
        <v>662</v>
      </c>
      <c r="B663" s="3" t="s">
        <v>492</v>
      </c>
      <c r="C663" s="3" t="s">
        <v>705</v>
      </c>
      <c r="D663" s="3">
        <v>7.52</v>
      </c>
      <c r="E663" s="3">
        <v>750</v>
      </c>
      <c r="F663" s="3">
        <v>18</v>
      </c>
      <c r="G663" s="3">
        <v>18</v>
      </c>
      <c r="H663" s="3">
        <v>0</v>
      </c>
      <c r="I663" s="3">
        <v>0</v>
      </c>
      <c r="J663" s="3">
        <v>0</v>
      </c>
      <c r="K663" s="3">
        <v>0</v>
      </c>
      <c r="L663" s="3" t="s">
        <v>20</v>
      </c>
      <c r="M663" s="3" t="s">
        <v>46</v>
      </c>
      <c r="N663" s="2"/>
      <c r="O663" s="2"/>
      <c r="P663" s="3" t="str">
        <f>IF(OR(COUNTIF('ثبت لیبل'!$B$11:$B$1010,TRIM(LEFT(C663,FIND("-",C663&amp;"-")-1)))&gt;0,COUNTIF('ثبت لیبل'!$B$11:$B$1010,SUBSTITUTE(TRIM(LEFT(C663,FIND("-",C663&amp;"-")-1)),"GD",""))&gt;0),"موجود","")</f>
        <v/>
      </c>
    </row>
    <row r="664" spans="1:16">
      <c r="A664" s="3">
        <v>663</v>
      </c>
      <c r="B664" s="3" t="s">
        <v>492</v>
      </c>
      <c r="C664" s="3" t="s">
        <v>706</v>
      </c>
      <c r="D664" s="3">
        <v>0.71</v>
      </c>
      <c r="E664" s="3">
        <v>750</v>
      </c>
      <c r="F664" s="3">
        <v>17</v>
      </c>
      <c r="G664" s="3">
        <v>17</v>
      </c>
      <c r="H664" s="3">
        <v>0</v>
      </c>
      <c r="I664" s="3">
        <v>0</v>
      </c>
      <c r="J664" s="3">
        <v>0</v>
      </c>
      <c r="K664" s="3">
        <v>0</v>
      </c>
      <c r="L664" s="3" t="s">
        <v>17</v>
      </c>
      <c r="M664" s="3" t="s">
        <v>46</v>
      </c>
      <c r="N664" s="2"/>
      <c r="O664" s="2"/>
      <c r="P664" s="3" t="str">
        <f>IF(OR(COUNTIF('ثبت لیبل'!$B$11:$B$1010,TRIM(LEFT(C664,FIND("-",C664&amp;"-")-1)))&gt;0,COUNTIF('ثبت لیبل'!$B$11:$B$1010,SUBSTITUTE(TRIM(LEFT(C664,FIND("-",C664&amp;"-")-1)),"GD",""))&gt;0),"موجود","")</f>
        <v/>
      </c>
    </row>
    <row r="665" spans="1:16">
      <c r="A665" s="3">
        <v>664</v>
      </c>
      <c r="B665" s="3" t="s">
        <v>492</v>
      </c>
      <c r="C665" s="3" t="s">
        <v>707</v>
      </c>
      <c r="D665" s="3">
        <v>0.69</v>
      </c>
      <c r="E665" s="3">
        <v>750</v>
      </c>
      <c r="F665" s="3">
        <v>17</v>
      </c>
      <c r="G665" s="3">
        <v>17</v>
      </c>
      <c r="H665" s="3">
        <v>0</v>
      </c>
      <c r="I665" s="3">
        <v>0</v>
      </c>
      <c r="J665" s="3">
        <v>0</v>
      </c>
      <c r="K665" s="3">
        <v>0</v>
      </c>
      <c r="L665" s="3" t="s">
        <v>17</v>
      </c>
      <c r="M665" s="3" t="s">
        <v>46</v>
      </c>
      <c r="N665" s="2"/>
      <c r="O665" s="2"/>
      <c r="P665" s="3" t="str">
        <f>IF(OR(COUNTIF('ثبت لیبل'!$B$11:$B$1010,TRIM(LEFT(C665,FIND("-",C665&amp;"-")-1)))&gt;0,COUNTIF('ثبت لیبل'!$B$11:$B$1010,SUBSTITUTE(TRIM(LEFT(C665,FIND("-",C665&amp;"-")-1)),"GD",""))&gt;0),"موجود","")</f>
        <v/>
      </c>
    </row>
    <row r="666" spans="1:16">
      <c r="A666" s="3">
        <v>665</v>
      </c>
      <c r="B666" s="3" t="s">
        <v>492</v>
      </c>
      <c r="C666" s="3" t="s">
        <v>708</v>
      </c>
      <c r="D666" s="3">
        <v>11.97</v>
      </c>
      <c r="E666" s="3">
        <v>750</v>
      </c>
      <c r="F666" s="3">
        <v>10</v>
      </c>
      <c r="G666" s="3">
        <v>10</v>
      </c>
      <c r="H666" s="3">
        <v>0</v>
      </c>
      <c r="I666" s="3">
        <v>0</v>
      </c>
      <c r="J666" s="3">
        <v>0</v>
      </c>
      <c r="K666" s="3">
        <v>0</v>
      </c>
      <c r="L666" s="3" t="s">
        <v>17</v>
      </c>
      <c r="M666" s="3" t="s">
        <v>43</v>
      </c>
      <c r="N666" s="2"/>
      <c r="O666" s="2"/>
      <c r="P666" s="3" t="str">
        <f>IF(OR(COUNTIF('ثبت لیبل'!$B$11:$B$1010,TRIM(LEFT(C666,FIND("-",C666&amp;"-")-1)))&gt;0,COUNTIF('ثبت لیبل'!$B$11:$B$1010,SUBSTITUTE(TRIM(LEFT(C666,FIND("-",C666&amp;"-")-1)),"GD",""))&gt;0),"موجود","")</f>
        <v/>
      </c>
    </row>
    <row r="667" spans="1:16">
      <c r="A667" s="3">
        <v>666</v>
      </c>
      <c r="B667" s="3" t="s">
        <v>492</v>
      </c>
      <c r="C667" s="3" t="s">
        <v>709</v>
      </c>
      <c r="D667" s="3">
        <v>7.71</v>
      </c>
      <c r="E667" s="3">
        <v>750</v>
      </c>
      <c r="F667" s="3">
        <v>10</v>
      </c>
      <c r="G667" s="3">
        <v>10</v>
      </c>
      <c r="H667" s="3">
        <v>0</v>
      </c>
      <c r="I667" s="3">
        <v>0</v>
      </c>
      <c r="J667" s="3">
        <v>0</v>
      </c>
      <c r="K667" s="3">
        <v>0</v>
      </c>
      <c r="L667" s="3" t="s">
        <v>17</v>
      </c>
      <c r="M667" s="3" t="s">
        <v>43</v>
      </c>
      <c r="N667" s="2"/>
      <c r="O667" s="2"/>
      <c r="P667" s="3" t="str">
        <f>IF(OR(COUNTIF('ثبت لیبل'!$B$11:$B$1010,TRIM(LEFT(C667,FIND("-",C667&amp;"-")-1)))&gt;0,COUNTIF('ثبت لیبل'!$B$11:$B$1010,SUBSTITUTE(TRIM(LEFT(C667,FIND("-",C667&amp;"-")-1)),"GD",""))&gt;0),"موجود","")</f>
        <v/>
      </c>
    </row>
    <row r="668" spans="1:16">
      <c r="A668" s="3">
        <v>667</v>
      </c>
      <c r="B668" s="3" t="s">
        <v>492</v>
      </c>
      <c r="C668" s="3" t="s">
        <v>710</v>
      </c>
      <c r="D668" s="3">
        <v>0.88</v>
      </c>
      <c r="E668" s="3">
        <v>750</v>
      </c>
      <c r="F668" s="3">
        <v>19</v>
      </c>
      <c r="G668" s="3">
        <v>19</v>
      </c>
      <c r="H668" s="3">
        <v>0</v>
      </c>
      <c r="I668" s="3">
        <v>0</v>
      </c>
      <c r="J668" s="3">
        <v>0</v>
      </c>
      <c r="K668" s="3">
        <v>0</v>
      </c>
      <c r="L668" s="3" t="s">
        <v>17</v>
      </c>
      <c r="M668" s="3" t="s">
        <v>46</v>
      </c>
      <c r="N668" s="2"/>
      <c r="O668" s="2"/>
      <c r="P668" s="3" t="str">
        <f>IF(OR(COUNTIF('ثبت لیبل'!$B$11:$B$1010,TRIM(LEFT(C668,FIND("-",C668&amp;"-")-1)))&gt;0,COUNTIF('ثبت لیبل'!$B$11:$B$1010,SUBSTITUTE(TRIM(LEFT(C668,FIND("-",C668&amp;"-")-1)),"GD",""))&gt;0),"موجود","")</f>
        <v/>
      </c>
    </row>
    <row r="669" spans="1:16">
      <c r="A669" s="3">
        <v>668</v>
      </c>
      <c r="B669" s="3" t="s">
        <v>492</v>
      </c>
      <c r="C669" s="3" t="s">
        <v>711</v>
      </c>
      <c r="D669" s="3">
        <v>0.67</v>
      </c>
      <c r="E669" s="3">
        <v>750</v>
      </c>
      <c r="F669" s="3">
        <v>11</v>
      </c>
      <c r="G669" s="3">
        <v>11</v>
      </c>
      <c r="H669" s="3">
        <v>0</v>
      </c>
      <c r="I669" s="3">
        <v>0</v>
      </c>
      <c r="J669" s="3">
        <v>0</v>
      </c>
      <c r="K669" s="3">
        <v>0</v>
      </c>
      <c r="L669" s="3" t="s">
        <v>17</v>
      </c>
      <c r="M669" s="3" t="s">
        <v>60</v>
      </c>
      <c r="N669" s="2"/>
      <c r="O669" s="2"/>
      <c r="P669" s="3" t="str">
        <f>IF(OR(COUNTIF('ثبت لیبل'!$B$11:$B$1010,TRIM(LEFT(C669,FIND("-",C669&amp;"-")-1)))&gt;0,COUNTIF('ثبت لیبل'!$B$11:$B$1010,SUBSTITUTE(TRIM(LEFT(C669,FIND("-",C669&amp;"-")-1)),"GD",""))&gt;0),"موجود","")</f>
        <v/>
      </c>
    </row>
    <row r="670" spans="1:16">
      <c r="A670" s="3">
        <v>669</v>
      </c>
      <c r="B670" s="3" t="s">
        <v>492</v>
      </c>
      <c r="C670" s="3" t="s">
        <v>712</v>
      </c>
      <c r="D670" s="3">
        <v>1.1599999999999999</v>
      </c>
      <c r="E670" s="3">
        <v>750</v>
      </c>
      <c r="F670" s="3">
        <v>13</v>
      </c>
      <c r="G670" s="3">
        <v>13</v>
      </c>
      <c r="H670" s="3">
        <v>0</v>
      </c>
      <c r="I670" s="3">
        <v>0</v>
      </c>
      <c r="J670" s="3">
        <v>0</v>
      </c>
      <c r="K670" s="3">
        <v>0</v>
      </c>
      <c r="L670" s="3" t="s">
        <v>17</v>
      </c>
      <c r="M670" s="3" t="s">
        <v>60</v>
      </c>
      <c r="N670" s="2"/>
      <c r="O670" s="2"/>
      <c r="P670" s="3" t="str">
        <f>IF(OR(COUNTIF('ثبت لیبل'!$B$11:$B$1010,TRIM(LEFT(C670,FIND("-",C670&amp;"-")-1)))&gt;0,COUNTIF('ثبت لیبل'!$B$11:$B$1010,SUBSTITUTE(TRIM(LEFT(C670,FIND("-",C670&amp;"-")-1)),"GD",""))&gt;0),"موجود","")</f>
        <v/>
      </c>
    </row>
    <row r="671" spans="1:16">
      <c r="A671" s="3">
        <v>670</v>
      </c>
      <c r="B671" s="3" t="s">
        <v>492</v>
      </c>
      <c r="C671" s="3" t="s">
        <v>713</v>
      </c>
      <c r="D671" s="3">
        <v>1.96</v>
      </c>
      <c r="E671" s="3">
        <v>750</v>
      </c>
      <c r="F671" s="3">
        <v>15</v>
      </c>
      <c r="G671" s="3">
        <v>15</v>
      </c>
      <c r="H671" s="3">
        <v>0</v>
      </c>
      <c r="I671" s="3">
        <v>0</v>
      </c>
      <c r="J671" s="3">
        <v>0</v>
      </c>
      <c r="K671" s="3">
        <v>0</v>
      </c>
      <c r="L671" s="3" t="s">
        <v>17</v>
      </c>
      <c r="M671" s="3" t="s">
        <v>76</v>
      </c>
      <c r="N671" s="2"/>
      <c r="O671" s="2"/>
      <c r="P671" s="3" t="str">
        <f>IF(OR(COUNTIF('ثبت لیبل'!$B$11:$B$1010,TRIM(LEFT(C671,FIND("-",C671&amp;"-")-1)))&gt;0,COUNTIF('ثبت لیبل'!$B$11:$B$1010,SUBSTITUTE(TRIM(LEFT(C671,FIND("-",C671&amp;"-")-1)),"GD",""))&gt;0),"موجود","")</f>
        <v/>
      </c>
    </row>
    <row r="672" spans="1:16">
      <c r="A672" s="3">
        <v>671</v>
      </c>
      <c r="B672" s="3" t="s">
        <v>492</v>
      </c>
      <c r="C672" s="3" t="s">
        <v>714</v>
      </c>
      <c r="D672" s="3">
        <v>1.62</v>
      </c>
      <c r="E672" s="3">
        <v>750</v>
      </c>
      <c r="F672" s="3">
        <v>14</v>
      </c>
      <c r="G672" s="3">
        <v>14</v>
      </c>
      <c r="H672" s="3">
        <v>0</v>
      </c>
      <c r="I672" s="3">
        <v>0</v>
      </c>
      <c r="J672" s="3">
        <v>0</v>
      </c>
      <c r="K672" s="3">
        <v>0</v>
      </c>
      <c r="L672" s="3" t="s">
        <v>17</v>
      </c>
      <c r="M672" s="3" t="s">
        <v>76</v>
      </c>
      <c r="N672" s="2"/>
      <c r="O672" s="2"/>
      <c r="P672" s="3" t="str">
        <f>IF(OR(COUNTIF('ثبت لیبل'!$B$11:$B$1010,TRIM(LEFT(C672,FIND("-",C672&amp;"-")-1)))&gt;0,COUNTIF('ثبت لیبل'!$B$11:$B$1010,SUBSTITUTE(TRIM(LEFT(C672,FIND("-",C672&amp;"-")-1)),"GD",""))&gt;0),"موجود","")</f>
        <v/>
      </c>
    </row>
    <row r="673" spans="1:16">
      <c r="A673" s="3">
        <v>672</v>
      </c>
      <c r="B673" s="3" t="s">
        <v>492</v>
      </c>
      <c r="C673" s="3" t="s">
        <v>715</v>
      </c>
      <c r="D673" s="3">
        <v>5.5</v>
      </c>
      <c r="E673" s="3">
        <v>750</v>
      </c>
      <c r="F673" s="3">
        <v>12</v>
      </c>
      <c r="G673" s="3">
        <v>12</v>
      </c>
      <c r="H673" s="3">
        <v>0</v>
      </c>
      <c r="I673" s="3">
        <v>0</v>
      </c>
      <c r="J673" s="3">
        <v>0</v>
      </c>
      <c r="K673" s="3">
        <v>0</v>
      </c>
      <c r="L673" s="3" t="s">
        <v>20</v>
      </c>
      <c r="M673" s="3" t="s">
        <v>46</v>
      </c>
      <c r="N673" s="2"/>
      <c r="O673" s="2"/>
      <c r="P673" s="3" t="str">
        <f>IF(OR(COUNTIF('ثبت لیبل'!$B$11:$B$1010,TRIM(LEFT(C673,FIND("-",C673&amp;"-")-1)))&gt;0,COUNTIF('ثبت لیبل'!$B$11:$B$1010,SUBSTITUTE(TRIM(LEFT(C673,FIND("-",C673&amp;"-")-1)),"GD",""))&gt;0),"موجود","")</f>
        <v/>
      </c>
    </row>
    <row r="674" spans="1:16">
      <c r="A674" s="3">
        <v>673</v>
      </c>
      <c r="B674" s="3" t="s">
        <v>492</v>
      </c>
      <c r="C674" s="3" t="s">
        <v>716</v>
      </c>
      <c r="D674" s="3">
        <v>6.93</v>
      </c>
      <c r="E674" s="3">
        <v>750</v>
      </c>
      <c r="F674" s="3">
        <v>12</v>
      </c>
      <c r="G674" s="2"/>
      <c r="H674" s="3">
        <v>0</v>
      </c>
      <c r="I674" s="2"/>
      <c r="J674" s="3">
        <v>0</v>
      </c>
      <c r="K674" s="2"/>
      <c r="L674" s="3" t="s">
        <v>20</v>
      </c>
      <c r="M674" s="3" t="s">
        <v>114</v>
      </c>
      <c r="N674" s="2"/>
      <c r="O674" s="2"/>
      <c r="P674" s="3" t="str">
        <f>IF(OR(COUNTIF('ثبت لیبل'!$B$11:$B$1010,TRIM(LEFT(C674,FIND("-",C674&amp;"-")-1)))&gt;0,COUNTIF('ثبت لیبل'!$B$11:$B$1010,SUBSTITUTE(TRIM(LEFT(C674,FIND("-",C674&amp;"-")-1)),"GD",""))&gt;0),"موجود","")</f>
        <v/>
      </c>
    </row>
    <row r="675" spans="1:16">
      <c r="A675" s="3">
        <v>674</v>
      </c>
      <c r="B675" s="3" t="s">
        <v>492</v>
      </c>
      <c r="C675" s="3" t="s">
        <v>717</v>
      </c>
      <c r="D675" s="3">
        <v>0.67</v>
      </c>
      <c r="E675" s="3">
        <v>750</v>
      </c>
      <c r="F675" s="3">
        <v>11</v>
      </c>
      <c r="G675" s="3">
        <v>11</v>
      </c>
      <c r="H675" s="3">
        <v>0</v>
      </c>
      <c r="I675" s="3">
        <v>0</v>
      </c>
      <c r="J675" s="3">
        <v>0</v>
      </c>
      <c r="K675" s="3">
        <v>0</v>
      </c>
      <c r="L675" s="3" t="s">
        <v>17</v>
      </c>
      <c r="M675" s="3" t="s">
        <v>60</v>
      </c>
      <c r="N675" s="2"/>
      <c r="O675" s="2"/>
      <c r="P675" s="3" t="str">
        <f>IF(OR(COUNTIF('ثبت لیبل'!$B$11:$B$1010,TRIM(LEFT(C675,FIND("-",C675&amp;"-")-1)))&gt;0,COUNTIF('ثبت لیبل'!$B$11:$B$1010,SUBSTITUTE(TRIM(LEFT(C675,FIND("-",C675&amp;"-")-1)),"GD",""))&gt;0),"موجود","")</f>
        <v/>
      </c>
    </row>
    <row r="676" spans="1:16">
      <c r="A676" s="3">
        <v>675</v>
      </c>
      <c r="B676" s="3" t="s">
        <v>492</v>
      </c>
      <c r="C676" s="3" t="s">
        <v>718</v>
      </c>
      <c r="D676" s="3">
        <v>9.76</v>
      </c>
      <c r="E676" s="3">
        <v>750</v>
      </c>
      <c r="F676" s="3">
        <v>10</v>
      </c>
      <c r="G676" s="3">
        <v>10</v>
      </c>
      <c r="H676" s="3">
        <v>0</v>
      </c>
      <c r="I676" s="3">
        <v>0</v>
      </c>
      <c r="J676" s="3">
        <v>0</v>
      </c>
      <c r="K676" s="3">
        <v>0</v>
      </c>
      <c r="L676" s="3" t="s">
        <v>17</v>
      </c>
      <c r="M676" s="3" t="s">
        <v>18</v>
      </c>
      <c r="N676" s="2"/>
      <c r="O676" s="2"/>
      <c r="P676" s="3" t="str">
        <f>IF(OR(COUNTIF('ثبت لیبل'!$B$11:$B$1010,TRIM(LEFT(C676,FIND("-",C676&amp;"-")-1)))&gt;0,COUNTIF('ثبت لیبل'!$B$11:$B$1010,SUBSTITUTE(TRIM(LEFT(C676,FIND("-",C676&amp;"-")-1)),"GD",""))&gt;0),"موجود","")</f>
        <v/>
      </c>
    </row>
    <row r="677" spans="1:16">
      <c r="A677" s="3">
        <v>676</v>
      </c>
      <c r="B677" s="3" t="s">
        <v>492</v>
      </c>
      <c r="C677" s="3" t="s">
        <v>719</v>
      </c>
      <c r="D677" s="3">
        <v>0.73</v>
      </c>
      <c r="E677" s="3">
        <v>750</v>
      </c>
      <c r="F677" s="3">
        <v>13</v>
      </c>
      <c r="G677" s="3">
        <v>13</v>
      </c>
      <c r="H677" s="3">
        <v>0</v>
      </c>
      <c r="I677" s="3">
        <v>0</v>
      </c>
      <c r="J677" s="3">
        <v>0</v>
      </c>
      <c r="K677" s="3">
        <v>0</v>
      </c>
      <c r="L677" s="3" t="s">
        <v>17</v>
      </c>
      <c r="M677" s="3" t="s">
        <v>21</v>
      </c>
      <c r="N677" s="2"/>
      <c r="O677" s="2"/>
      <c r="P677" s="3" t="str">
        <f>IF(OR(COUNTIF('ثبت لیبل'!$B$11:$B$1010,TRIM(LEFT(C677,FIND("-",C677&amp;"-")-1)))&gt;0,COUNTIF('ثبت لیبل'!$B$11:$B$1010,SUBSTITUTE(TRIM(LEFT(C677,FIND("-",C677&amp;"-")-1)),"GD",""))&gt;0),"موجود","")</f>
        <v/>
      </c>
    </row>
    <row r="678" spans="1:16">
      <c r="A678" s="3">
        <v>677</v>
      </c>
      <c r="B678" s="3" t="s">
        <v>492</v>
      </c>
      <c r="C678" s="3" t="s">
        <v>720</v>
      </c>
      <c r="D678" s="3">
        <v>1.74</v>
      </c>
      <c r="E678" s="3">
        <v>750</v>
      </c>
      <c r="F678" s="3">
        <v>18</v>
      </c>
      <c r="G678" s="3">
        <v>18</v>
      </c>
      <c r="H678" s="3">
        <v>0</v>
      </c>
      <c r="I678" s="3">
        <v>0</v>
      </c>
      <c r="J678" s="3">
        <v>0</v>
      </c>
      <c r="K678" s="3">
        <v>0</v>
      </c>
      <c r="L678" s="3" t="s">
        <v>17</v>
      </c>
      <c r="M678" s="3" t="s">
        <v>43</v>
      </c>
      <c r="N678" s="2"/>
      <c r="O678" s="2"/>
      <c r="P678" s="3" t="str">
        <f>IF(OR(COUNTIF('ثبت لیبل'!$B$11:$B$1010,TRIM(LEFT(C678,FIND("-",C678&amp;"-")-1)))&gt;0,COUNTIF('ثبت لیبل'!$B$11:$B$1010,SUBSTITUTE(TRIM(LEFT(C678,FIND("-",C678&amp;"-")-1)),"GD",""))&gt;0),"موجود","")</f>
        <v/>
      </c>
    </row>
    <row r="679" spans="1:16">
      <c r="A679" s="3">
        <v>678</v>
      </c>
      <c r="B679" s="3" t="s">
        <v>492</v>
      </c>
      <c r="C679" s="3" t="s">
        <v>721</v>
      </c>
      <c r="D679" s="3">
        <v>0.88</v>
      </c>
      <c r="E679" s="3">
        <v>750</v>
      </c>
      <c r="F679" s="3">
        <v>17</v>
      </c>
      <c r="G679" s="3">
        <v>17</v>
      </c>
      <c r="H679" s="3">
        <v>0</v>
      </c>
      <c r="I679" s="3">
        <v>0</v>
      </c>
      <c r="J679" s="3">
        <v>0</v>
      </c>
      <c r="K679" s="3">
        <v>0</v>
      </c>
      <c r="L679" s="3" t="s">
        <v>17</v>
      </c>
      <c r="M679" s="3" t="s">
        <v>46</v>
      </c>
      <c r="N679" s="2"/>
      <c r="O679" s="2"/>
      <c r="P679" s="3" t="str">
        <f>IF(OR(COUNTIF('ثبت لیبل'!$B$11:$B$1010,TRIM(LEFT(C679,FIND("-",C679&amp;"-")-1)))&gt;0,COUNTIF('ثبت لیبل'!$B$11:$B$1010,SUBSTITUTE(TRIM(LEFT(C679,FIND("-",C679&amp;"-")-1)),"GD",""))&gt;0),"موجود","")</f>
        <v/>
      </c>
    </row>
    <row r="680" spans="1:16">
      <c r="A680" s="3">
        <v>679</v>
      </c>
      <c r="B680" s="3" t="s">
        <v>492</v>
      </c>
      <c r="C680" s="3" t="s">
        <v>722</v>
      </c>
      <c r="D680" s="3">
        <v>0.89</v>
      </c>
      <c r="E680" s="3">
        <v>750</v>
      </c>
      <c r="F680" s="3">
        <v>17</v>
      </c>
      <c r="G680" s="3">
        <v>17</v>
      </c>
      <c r="H680" s="3">
        <v>0</v>
      </c>
      <c r="I680" s="3">
        <v>0</v>
      </c>
      <c r="J680" s="3">
        <v>0</v>
      </c>
      <c r="K680" s="3">
        <v>0</v>
      </c>
      <c r="L680" s="3" t="s">
        <v>17</v>
      </c>
      <c r="M680" s="3" t="s">
        <v>46</v>
      </c>
      <c r="N680" s="2"/>
      <c r="O680" s="2"/>
      <c r="P680" s="3" t="str">
        <f>IF(OR(COUNTIF('ثبت لیبل'!$B$11:$B$1010,TRIM(LEFT(C680,FIND("-",C680&amp;"-")-1)))&gt;0,COUNTIF('ثبت لیبل'!$B$11:$B$1010,SUBSTITUTE(TRIM(LEFT(C680,FIND("-",C680&amp;"-")-1)),"GD",""))&gt;0),"موجود","")</f>
        <v/>
      </c>
    </row>
    <row r="681" spans="1:16">
      <c r="A681" s="3">
        <v>680</v>
      </c>
      <c r="B681" s="3" t="s">
        <v>492</v>
      </c>
      <c r="C681" s="3" t="s">
        <v>723</v>
      </c>
      <c r="D681" s="3">
        <v>0.52</v>
      </c>
      <c r="E681" s="3">
        <v>750</v>
      </c>
      <c r="F681" s="3">
        <v>13</v>
      </c>
      <c r="G681" s="3">
        <v>13</v>
      </c>
      <c r="H681" s="3">
        <v>0</v>
      </c>
      <c r="I681" s="3">
        <v>0</v>
      </c>
      <c r="J681" s="3">
        <v>0</v>
      </c>
      <c r="K681" s="3">
        <v>0</v>
      </c>
      <c r="L681" s="3" t="s">
        <v>17</v>
      </c>
      <c r="M681" s="3" t="s">
        <v>21</v>
      </c>
      <c r="N681" s="2"/>
      <c r="O681" s="2"/>
      <c r="P681" s="3" t="str">
        <f>IF(OR(COUNTIF('ثبت لیبل'!$B$11:$B$1010,TRIM(LEFT(C681,FIND("-",C681&amp;"-")-1)))&gt;0,COUNTIF('ثبت لیبل'!$B$11:$B$1010,SUBSTITUTE(TRIM(LEFT(C681,FIND("-",C681&amp;"-")-1)),"GD",""))&gt;0),"موجود","")</f>
        <v/>
      </c>
    </row>
    <row r="682" spans="1:16">
      <c r="A682" s="3">
        <v>681</v>
      </c>
      <c r="B682" s="3" t="s">
        <v>492</v>
      </c>
      <c r="C682" s="3" t="s">
        <v>724</v>
      </c>
      <c r="D682" s="3">
        <v>1.95</v>
      </c>
      <c r="E682" s="3">
        <v>750</v>
      </c>
      <c r="F682" s="3">
        <v>13</v>
      </c>
      <c r="G682" s="3">
        <v>13</v>
      </c>
      <c r="H682" s="3">
        <v>0</v>
      </c>
      <c r="I682" s="3">
        <v>0</v>
      </c>
      <c r="J682" s="3">
        <v>0</v>
      </c>
      <c r="K682" s="3">
        <v>0</v>
      </c>
      <c r="L682" s="3" t="s">
        <v>63</v>
      </c>
      <c r="M682" s="3" t="s">
        <v>60</v>
      </c>
      <c r="N682" s="2"/>
      <c r="O682" s="2"/>
      <c r="P682" s="3" t="str">
        <f>IF(OR(COUNTIF('ثبت لیبل'!$B$11:$B$1010,TRIM(LEFT(C682,FIND("-",C682&amp;"-")-1)))&gt;0,COUNTIF('ثبت لیبل'!$B$11:$B$1010,SUBSTITUTE(TRIM(LEFT(C682,FIND("-",C682&amp;"-")-1)),"GD",""))&gt;0),"موجود","")</f>
        <v/>
      </c>
    </row>
    <row r="683" spans="1:16">
      <c r="A683" s="3">
        <v>682</v>
      </c>
      <c r="B683" s="3" t="s">
        <v>492</v>
      </c>
      <c r="C683" s="3" t="s">
        <v>725</v>
      </c>
      <c r="D683" s="3">
        <v>2.11</v>
      </c>
      <c r="E683" s="3">
        <v>750</v>
      </c>
      <c r="F683" s="3">
        <v>13</v>
      </c>
      <c r="G683" s="3">
        <v>13</v>
      </c>
      <c r="H683" s="3">
        <v>0</v>
      </c>
      <c r="I683" s="3">
        <v>0</v>
      </c>
      <c r="J683" s="3">
        <v>0</v>
      </c>
      <c r="K683" s="3">
        <v>0</v>
      </c>
      <c r="L683" s="3" t="s">
        <v>17</v>
      </c>
      <c r="M683" s="3" t="s">
        <v>60</v>
      </c>
      <c r="N683" s="2"/>
      <c r="O683" s="2"/>
      <c r="P683" s="3" t="str">
        <f>IF(OR(COUNTIF('ثبت لیبل'!$B$11:$B$1010,TRIM(LEFT(C683,FIND("-",C683&amp;"-")-1)))&gt;0,COUNTIF('ثبت لیبل'!$B$11:$B$1010,SUBSTITUTE(TRIM(LEFT(C683,FIND("-",C683&amp;"-")-1)),"GD",""))&gt;0),"موجود","")</f>
        <v/>
      </c>
    </row>
    <row r="684" spans="1:16">
      <c r="A684" s="3">
        <v>683</v>
      </c>
      <c r="B684" s="3" t="s">
        <v>492</v>
      </c>
      <c r="C684" s="3" t="s">
        <v>726</v>
      </c>
      <c r="D684" s="3">
        <v>1.34</v>
      </c>
      <c r="E684" s="3">
        <v>750</v>
      </c>
      <c r="F684" s="3">
        <v>18</v>
      </c>
      <c r="G684" s="3">
        <v>18</v>
      </c>
      <c r="H684" s="3">
        <v>0</v>
      </c>
      <c r="I684" s="3">
        <v>0</v>
      </c>
      <c r="J684" s="3">
        <v>0</v>
      </c>
      <c r="K684" s="3">
        <v>0</v>
      </c>
      <c r="L684" s="3" t="s">
        <v>17</v>
      </c>
      <c r="M684" s="3" t="s">
        <v>18</v>
      </c>
      <c r="N684" s="2"/>
      <c r="O684" s="2"/>
      <c r="P684" s="3" t="str">
        <f>IF(OR(COUNTIF('ثبت لیبل'!$B$11:$B$1010,TRIM(LEFT(C684,FIND("-",C684&amp;"-")-1)))&gt;0,COUNTIF('ثبت لیبل'!$B$11:$B$1010,SUBSTITUTE(TRIM(LEFT(C684,FIND("-",C684&amp;"-")-1)),"GD",""))&gt;0),"موجود","")</f>
        <v/>
      </c>
    </row>
    <row r="685" spans="1:16">
      <c r="A685" s="3">
        <v>684</v>
      </c>
      <c r="B685" s="3" t="s">
        <v>492</v>
      </c>
      <c r="C685" s="3" t="s">
        <v>727</v>
      </c>
      <c r="D685" s="3">
        <v>0.7</v>
      </c>
      <c r="E685" s="3">
        <v>750</v>
      </c>
      <c r="F685" s="3">
        <v>18</v>
      </c>
      <c r="G685" s="3">
        <v>18</v>
      </c>
      <c r="H685" s="3">
        <v>0</v>
      </c>
      <c r="I685" s="3">
        <v>0</v>
      </c>
      <c r="J685" s="3">
        <v>0</v>
      </c>
      <c r="K685" s="3">
        <v>0</v>
      </c>
      <c r="L685" s="3" t="s">
        <v>17</v>
      </c>
      <c r="M685" s="3" t="s">
        <v>46</v>
      </c>
      <c r="N685" s="2"/>
      <c r="O685" s="2"/>
      <c r="P685" s="3" t="str">
        <f>IF(OR(COUNTIF('ثبت لیبل'!$B$11:$B$1010,TRIM(LEFT(C685,FIND("-",C685&amp;"-")-1)))&gt;0,COUNTIF('ثبت لیبل'!$B$11:$B$1010,SUBSTITUTE(TRIM(LEFT(C685,FIND("-",C685&amp;"-")-1)),"GD",""))&gt;0),"موجود","")</f>
        <v/>
      </c>
    </row>
    <row r="686" spans="1:16">
      <c r="A686" s="3">
        <v>685</v>
      </c>
      <c r="B686" s="3" t="s">
        <v>492</v>
      </c>
      <c r="C686" s="3" t="s">
        <v>728</v>
      </c>
      <c r="D686" s="3">
        <v>0.91</v>
      </c>
      <c r="E686" s="3">
        <v>750</v>
      </c>
      <c r="F686" s="3">
        <v>18</v>
      </c>
      <c r="G686" s="3">
        <v>18</v>
      </c>
      <c r="H686" s="3">
        <v>0</v>
      </c>
      <c r="I686" s="3">
        <v>0</v>
      </c>
      <c r="J686" s="3">
        <v>0</v>
      </c>
      <c r="K686" s="3">
        <v>0</v>
      </c>
      <c r="L686" s="3" t="s">
        <v>17</v>
      </c>
      <c r="M686" s="3" t="s">
        <v>18</v>
      </c>
      <c r="N686" s="2"/>
      <c r="O686" s="2"/>
      <c r="P686" s="3" t="str">
        <f>IF(OR(COUNTIF('ثبت لیبل'!$B$11:$B$1010,TRIM(LEFT(C686,FIND("-",C686&amp;"-")-1)))&gt;0,COUNTIF('ثبت لیبل'!$B$11:$B$1010,SUBSTITUTE(TRIM(LEFT(C686,FIND("-",C686&amp;"-")-1)),"GD",""))&gt;0),"موجود","")</f>
        <v/>
      </c>
    </row>
    <row r="687" spans="1:16">
      <c r="A687" s="3">
        <v>686</v>
      </c>
      <c r="B687" s="3" t="s">
        <v>492</v>
      </c>
      <c r="C687" s="3" t="s">
        <v>729</v>
      </c>
      <c r="D687" s="3">
        <v>0.8</v>
      </c>
      <c r="E687" s="3">
        <v>750</v>
      </c>
      <c r="F687" s="3">
        <v>18</v>
      </c>
      <c r="G687" s="3">
        <v>18</v>
      </c>
      <c r="H687" s="3">
        <v>0</v>
      </c>
      <c r="I687" s="3">
        <v>0</v>
      </c>
      <c r="J687" s="3">
        <v>0</v>
      </c>
      <c r="K687" s="3">
        <v>0</v>
      </c>
      <c r="L687" s="3" t="s">
        <v>17</v>
      </c>
      <c r="M687" s="3" t="s">
        <v>18</v>
      </c>
      <c r="N687" s="2"/>
      <c r="O687" s="2"/>
      <c r="P687" s="3" t="str">
        <f>IF(OR(COUNTIF('ثبت لیبل'!$B$11:$B$1010,TRIM(LEFT(C687,FIND("-",C687&amp;"-")-1)))&gt;0,COUNTIF('ثبت لیبل'!$B$11:$B$1010,SUBSTITUTE(TRIM(LEFT(C687,FIND("-",C687&amp;"-")-1)),"GD",""))&gt;0),"موجود","")</f>
        <v/>
      </c>
    </row>
    <row r="688" spans="1:16">
      <c r="A688" s="3">
        <v>687</v>
      </c>
      <c r="B688" s="3" t="s">
        <v>492</v>
      </c>
      <c r="C688" s="3" t="s">
        <v>730</v>
      </c>
      <c r="D688" s="3">
        <v>0.9</v>
      </c>
      <c r="E688" s="3">
        <v>750</v>
      </c>
      <c r="F688" s="3">
        <v>18</v>
      </c>
      <c r="G688" s="3">
        <v>18</v>
      </c>
      <c r="H688" s="3">
        <v>0</v>
      </c>
      <c r="I688" s="3">
        <v>0</v>
      </c>
      <c r="J688" s="3">
        <v>0</v>
      </c>
      <c r="K688" s="3">
        <v>0</v>
      </c>
      <c r="L688" s="3" t="s">
        <v>17</v>
      </c>
      <c r="M688" s="3" t="s">
        <v>18</v>
      </c>
      <c r="N688" s="2"/>
      <c r="O688" s="2"/>
      <c r="P688" s="3" t="str">
        <f>IF(OR(COUNTIF('ثبت لیبل'!$B$11:$B$1010,TRIM(LEFT(C688,FIND("-",C688&amp;"-")-1)))&gt;0,COUNTIF('ثبت لیبل'!$B$11:$B$1010,SUBSTITUTE(TRIM(LEFT(C688,FIND("-",C688&amp;"-")-1)),"GD",""))&gt;0),"موجود","")</f>
        <v/>
      </c>
    </row>
    <row r="689" spans="1:16">
      <c r="A689" s="3">
        <v>688</v>
      </c>
      <c r="B689" s="3" t="s">
        <v>492</v>
      </c>
      <c r="C689" s="3" t="s">
        <v>731</v>
      </c>
      <c r="D689" s="3">
        <v>0.48</v>
      </c>
      <c r="E689" s="3">
        <v>750</v>
      </c>
      <c r="F689" s="3">
        <v>18</v>
      </c>
      <c r="G689" s="3">
        <v>18</v>
      </c>
      <c r="H689" s="3">
        <v>0</v>
      </c>
      <c r="I689" s="3">
        <v>0</v>
      </c>
      <c r="J689" s="3">
        <v>0</v>
      </c>
      <c r="K689" s="3">
        <v>0</v>
      </c>
      <c r="L689" s="3" t="s">
        <v>17</v>
      </c>
      <c r="M689" s="3" t="s">
        <v>46</v>
      </c>
      <c r="N689" s="2"/>
      <c r="O689" s="2"/>
      <c r="P689" s="3" t="str">
        <f>IF(OR(COUNTIF('ثبت لیبل'!$B$11:$B$1010,TRIM(LEFT(C689,FIND("-",C689&amp;"-")-1)))&gt;0,COUNTIF('ثبت لیبل'!$B$11:$B$1010,SUBSTITUTE(TRIM(LEFT(C689,FIND("-",C689&amp;"-")-1)),"GD",""))&gt;0),"موجود","")</f>
        <v/>
      </c>
    </row>
    <row r="690" spans="1:16">
      <c r="A690" s="3">
        <v>689</v>
      </c>
      <c r="B690" s="3" t="s">
        <v>492</v>
      </c>
      <c r="C690" s="3" t="s">
        <v>732</v>
      </c>
      <c r="D690" s="3">
        <v>0.64</v>
      </c>
      <c r="E690" s="3">
        <v>750</v>
      </c>
      <c r="F690" s="3">
        <v>18</v>
      </c>
      <c r="G690" s="3">
        <v>18</v>
      </c>
      <c r="H690" s="3">
        <v>0</v>
      </c>
      <c r="I690" s="3">
        <v>0</v>
      </c>
      <c r="J690" s="3">
        <v>0</v>
      </c>
      <c r="K690" s="3">
        <v>0</v>
      </c>
      <c r="L690" s="3" t="s">
        <v>17</v>
      </c>
      <c r="M690" s="3" t="s">
        <v>46</v>
      </c>
      <c r="N690" s="2"/>
      <c r="O690" s="2"/>
      <c r="P690" s="3" t="str">
        <f>IF(OR(COUNTIF('ثبت لیبل'!$B$11:$B$1010,TRIM(LEFT(C690,FIND("-",C690&amp;"-")-1)))&gt;0,COUNTIF('ثبت لیبل'!$B$11:$B$1010,SUBSTITUTE(TRIM(LEFT(C690,FIND("-",C690&amp;"-")-1)),"GD",""))&gt;0),"موجود","")</f>
        <v/>
      </c>
    </row>
    <row r="691" spans="1:16">
      <c r="A691" s="3">
        <v>690</v>
      </c>
      <c r="B691" s="3" t="s">
        <v>492</v>
      </c>
      <c r="C691" s="3" t="s">
        <v>733</v>
      </c>
      <c r="D691" s="3">
        <v>1.06</v>
      </c>
      <c r="E691" s="3">
        <v>750</v>
      </c>
      <c r="F691" s="3">
        <v>12</v>
      </c>
      <c r="G691" s="3">
        <v>12</v>
      </c>
      <c r="H691" s="3">
        <v>0</v>
      </c>
      <c r="I691" s="3">
        <v>0</v>
      </c>
      <c r="J691" s="3">
        <v>0</v>
      </c>
      <c r="K691" s="3">
        <v>0</v>
      </c>
      <c r="L691" s="3" t="s">
        <v>17</v>
      </c>
      <c r="M691" s="3" t="s">
        <v>43</v>
      </c>
      <c r="N691" s="2"/>
      <c r="O691" s="2"/>
      <c r="P691" s="3" t="str">
        <f>IF(OR(COUNTIF('ثبت لیبل'!$B$11:$B$1010,TRIM(LEFT(C691,FIND("-",C691&amp;"-")-1)))&gt;0,COUNTIF('ثبت لیبل'!$B$11:$B$1010,SUBSTITUTE(TRIM(LEFT(C691,FIND("-",C691&amp;"-")-1)),"GD",""))&gt;0),"موجود","")</f>
        <v/>
      </c>
    </row>
    <row r="692" spans="1:16">
      <c r="A692" s="3">
        <v>691</v>
      </c>
      <c r="B692" s="3" t="s">
        <v>492</v>
      </c>
      <c r="C692" s="3" t="s">
        <v>734</v>
      </c>
      <c r="D692" s="3">
        <v>1.06</v>
      </c>
      <c r="E692" s="3">
        <v>750</v>
      </c>
      <c r="F692" s="3">
        <v>12</v>
      </c>
      <c r="G692" s="3">
        <v>12</v>
      </c>
      <c r="H692" s="3">
        <v>0</v>
      </c>
      <c r="I692" s="3">
        <v>0</v>
      </c>
      <c r="J692" s="3">
        <v>0</v>
      </c>
      <c r="K692" s="3">
        <v>0</v>
      </c>
      <c r="L692" s="3" t="s">
        <v>17</v>
      </c>
      <c r="M692" s="3" t="s">
        <v>43</v>
      </c>
      <c r="N692" s="2"/>
      <c r="O692" s="2"/>
      <c r="P692" s="3" t="str">
        <f>IF(OR(COUNTIF('ثبت لیبل'!$B$11:$B$1010,TRIM(LEFT(C692,FIND("-",C692&amp;"-")-1)))&gt;0,COUNTIF('ثبت لیبل'!$B$11:$B$1010,SUBSTITUTE(TRIM(LEFT(C692,FIND("-",C692&amp;"-")-1)),"GD",""))&gt;0),"موجود","")</f>
        <v/>
      </c>
    </row>
    <row r="693" spans="1:16">
      <c r="A693" s="3">
        <v>692</v>
      </c>
      <c r="B693" s="3" t="s">
        <v>492</v>
      </c>
      <c r="C693" s="3" t="s">
        <v>735</v>
      </c>
      <c r="D693" s="3">
        <v>1.06</v>
      </c>
      <c r="E693" s="3">
        <v>750</v>
      </c>
      <c r="F693" s="3">
        <v>12</v>
      </c>
      <c r="G693" s="3">
        <v>12</v>
      </c>
      <c r="H693" s="3">
        <v>0</v>
      </c>
      <c r="I693" s="3">
        <v>0</v>
      </c>
      <c r="J693" s="3">
        <v>0</v>
      </c>
      <c r="K693" s="3">
        <v>0</v>
      </c>
      <c r="L693" s="3" t="s">
        <v>17</v>
      </c>
      <c r="M693" s="3" t="s">
        <v>43</v>
      </c>
      <c r="N693" s="2"/>
      <c r="O693" s="2"/>
      <c r="P693" s="3" t="str">
        <f>IF(OR(COUNTIF('ثبت لیبل'!$B$11:$B$1010,TRIM(LEFT(C693,FIND("-",C693&amp;"-")-1)))&gt;0,COUNTIF('ثبت لیبل'!$B$11:$B$1010,SUBSTITUTE(TRIM(LEFT(C693,FIND("-",C693&amp;"-")-1)),"GD",""))&gt;0),"موجود","")</f>
        <v/>
      </c>
    </row>
    <row r="694" spans="1:16">
      <c r="A694" s="3">
        <v>693</v>
      </c>
      <c r="B694" s="3" t="s">
        <v>492</v>
      </c>
      <c r="C694" s="3" t="s">
        <v>736</v>
      </c>
      <c r="D694" s="3">
        <v>0.77</v>
      </c>
      <c r="E694" s="3">
        <v>750</v>
      </c>
      <c r="F694" s="3">
        <v>14</v>
      </c>
      <c r="G694" s="3">
        <v>14</v>
      </c>
      <c r="H694" s="3">
        <v>0</v>
      </c>
      <c r="I694" s="3">
        <v>0</v>
      </c>
      <c r="J694" s="3">
        <v>0</v>
      </c>
      <c r="K694" s="3">
        <v>0</v>
      </c>
      <c r="L694" s="3" t="s">
        <v>17</v>
      </c>
      <c r="M694" s="3" t="s">
        <v>43</v>
      </c>
      <c r="N694" s="2"/>
      <c r="O694" s="2"/>
      <c r="P694" s="3" t="str">
        <f>IF(OR(COUNTIF('ثبت لیبل'!$B$11:$B$1010,TRIM(LEFT(C694,FIND("-",C694&amp;"-")-1)))&gt;0,COUNTIF('ثبت لیبل'!$B$11:$B$1010,SUBSTITUTE(TRIM(LEFT(C694,FIND("-",C694&amp;"-")-1)),"GD",""))&gt;0),"موجود","")</f>
        <v/>
      </c>
    </row>
    <row r="695" spans="1:16">
      <c r="A695" s="3">
        <v>694</v>
      </c>
      <c r="B695" s="3" t="s">
        <v>492</v>
      </c>
      <c r="C695" s="3" t="s">
        <v>737</v>
      </c>
      <c r="D695" s="3">
        <v>0.76</v>
      </c>
      <c r="E695" s="3">
        <v>750</v>
      </c>
      <c r="F695" s="3">
        <v>14</v>
      </c>
      <c r="G695" s="3">
        <v>14</v>
      </c>
      <c r="H695" s="3">
        <v>0</v>
      </c>
      <c r="I695" s="3">
        <v>0</v>
      </c>
      <c r="J695" s="3">
        <v>0</v>
      </c>
      <c r="K695" s="3">
        <v>0</v>
      </c>
      <c r="L695" s="3" t="s">
        <v>17</v>
      </c>
      <c r="M695" s="3" t="s">
        <v>43</v>
      </c>
      <c r="N695" s="2"/>
      <c r="O695" s="2"/>
      <c r="P695" s="3" t="str">
        <f>IF(OR(COUNTIF('ثبت لیبل'!$B$11:$B$1010,TRIM(LEFT(C695,FIND("-",C695&amp;"-")-1)))&gt;0,COUNTIF('ثبت لیبل'!$B$11:$B$1010,SUBSTITUTE(TRIM(LEFT(C695,FIND("-",C695&amp;"-")-1)),"GD",""))&gt;0),"موجود","")</f>
        <v/>
      </c>
    </row>
    <row r="696" spans="1:16">
      <c r="A696" s="3">
        <v>695</v>
      </c>
      <c r="B696" s="3" t="s">
        <v>492</v>
      </c>
      <c r="C696" s="3" t="s">
        <v>738</v>
      </c>
      <c r="D696" s="3">
        <v>0.74</v>
      </c>
      <c r="E696" s="3">
        <v>750</v>
      </c>
      <c r="F696" s="3">
        <v>10</v>
      </c>
      <c r="G696" s="3">
        <v>10</v>
      </c>
      <c r="H696" s="3">
        <v>0</v>
      </c>
      <c r="I696" s="3">
        <v>0</v>
      </c>
      <c r="J696" s="3">
        <v>0</v>
      </c>
      <c r="K696" s="3">
        <v>0</v>
      </c>
      <c r="L696" s="3" t="s">
        <v>17</v>
      </c>
      <c r="M696" s="3" t="s">
        <v>21</v>
      </c>
      <c r="N696" s="2"/>
      <c r="O696" s="2"/>
      <c r="P696" s="3" t="str">
        <f>IF(OR(COUNTIF('ثبت لیبل'!$B$11:$B$1010,TRIM(LEFT(C696,FIND("-",C696&amp;"-")-1)))&gt;0,COUNTIF('ثبت لیبل'!$B$11:$B$1010,SUBSTITUTE(TRIM(LEFT(C696,FIND("-",C696&amp;"-")-1)),"GD",""))&gt;0),"موجود","")</f>
        <v/>
      </c>
    </row>
    <row r="697" spans="1:16">
      <c r="A697" s="3">
        <v>696</v>
      </c>
      <c r="B697" s="3" t="s">
        <v>492</v>
      </c>
      <c r="C697" s="3" t="s">
        <v>739</v>
      </c>
      <c r="D697" s="3">
        <v>0.64</v>
      </c>
      <c r="E697" s="3">
        <v>750</v>
      </c>
      <c r="F697" s="3">
        <v>10</v>
      </c>
      <c r="G697" s="3">
        <v>10</v>
      </c>
      <c r="H697" s="3">
        <v>0</v>
      </c>
      <c r="I697" s="3">
        <v>0</v>
      </c>
      <c r="J697" s="3">
        <v>0</v>
      </c>
      <c r="K697" s="3">
        <v>0</v>
      </c>
      <c r="L697" s="3" t="s">
        <v>17</v>
      </c>
      <c r="M697" s="3" t="s">
        <v>21</v>
      </c>
      <c r="N697" s="2"/>
      <c r="O697" s="2"/>
      <c r="P697" s="3" t="str">
        <f>IF(OR(COUNTIF('ثبت لیبل'!$B$11:$B$1010,TRIM(LEFT(C697,FIND("-",C697&amp;"-")-1)))&gt;0,COUNTIF('ثبت لیبل'!$B$11:$B$1010,SUBSTITUTE(TRIM(LEFT(C697,FIND("-",C697&amp;"-")-1)),"GD",""))&gt;0),"موجود","")</f>
        <v/>
      </c>
    </row>
    <row r="698" spans="1:16">
      <c r="A698" s="3">
        <v>697</v>
      </c>
      <c r="B698" s="3" t="s">
        <v>492</v>
      </c>
      <c r="C698" s="3" t="s">
        <v>740</v>
      </c>
      <c r="D698" s="3">
        <v>0.76</v>
      </c>
      <c r="E698" s="3">
        <v>750</v>
      </c>
      <c r="F698" s="3">
        <v>10</v>
      </c>
      <c r="G698" s="3">
        <v>10</v>
      </c>
      <c r="H698" s="3">
        <v>0</v>
      </c>
      <c r="I698" s="3">
        <v>0</v>
      </c>
      <c r="J698" s="3">
        <v>0</v>
      </c>
      <c r="K698" s="3">
        <v>0</v>
      </c>
      <c r="L698" s="3" t="s">
        <v>17</v>
      </c>
      <c r="M698" s="3" t="s">
        <v>21</v>
      </c>
      <c r="N698" s="2"/>
      <c r="O698" s="2"/>
      <c r="P698" s="3" t="str">
        <f>IF(OR(COUNTIF('ثبت لیبل'!$B$11:$B$1010,TRIM(LEFT(C698,FIND("-",C698&amp;"-")-1)))&gt;0,COUNTIF('ثبت لیبل'!$B$11:$B$1010,SUBSTITUTE(TRIM(LEFT(C698,FIND("-",C698&amp;"-")-1)),"GD",""))&gt;0),"موجود","")</f>
        <v/>
      </c>
    </row>
    <row r="699" spans="1:16">
      <c r="A699" s="3">
        <v>698</v>
      </c>
      <c r="B699" s="3" t="s">
        <v>492</v>
      </c>
      <c r="C699" s="3" t="s">
        <v>741</v>
      </c>
      <c r="D699" s="3">
        <v>0.93</v>
      </c>
      <c r="E699" s="3">
        <v>750</v>
      </c>
      <c r="F699" s="3">
        <v>11</v>
      </c>
      <c r="G699" s="3">
        <v>11</v>
      </c>
      <c r="H699" s="3">
        <v>0</v>
      </c>
      <c r="I699" s="3">
        <v>0</v>
      </c>
      <c r="J699" s="3">
        <v>0</v>
      </c>
      <c r="K699" s="3">
        <v>0</v>
      </c>
      <c r="L699" s="3" t="s">
        <v>17</v>
      </c>
      <c r="M699" s="3" t="s">
        <v>21</v>
      </c>
      <c r="N699" s="2"/>
      <c r="O699" s="2"/>
      <c r="P699" s="3" t="str">
        <f>IF(OR(COUNTIF('ثبت لیبل'!$B$11:$B$1010,TRIM(LEFT(C699,FIND("-",C699&amp;"-")-1)))&gt;0,COUNTIF('ثبت لیبل'!$B$11:$B$1010,SUBSTITUTE(TRIM(LEFT(C699,FIND("-",C699&amp;"-")-1)),"GD",""))&gt;0),"موجود","")</f>
        <v/>
      </c>
    </row>
    <row r="700" spans="1:16">
      <c r="A700" s="3">
        <v>699</v>
      </c>
      <c r="B700" s="3" t="s">
        <v>492</v>
      </c>
      <c r="C700" s="3" t="s">
        <v>742</v>
      </c>
      <c r="D700" s="3">
        <v>1.24</v>
      </c>
      <c r="E700" s="3">
        <v>750</v>
      </c>
      <c r="F700" s="3">
        <v>11</v>
      </c>
      <c r="G700" s="3">
        <v>11</v>
      </c>
      <c r="H700" s="3">
        <v>0</v>
      </c>
      <c r="I700" s="3">
        <v>0</v>
      </c>
      <c r="J700" s="3">
        <v>0</v>
      </c>
      <c r="K700" s="3">
        <v>0</v>
      </c>
      <c r="L700" s="3" t="s">
        <v>17</v>
      </c>
      <c r="M700" s="3" t="s">
        <v>21</v>
      </c>
      <c r="N700" s="2"/>
      <c r="O700" s="2"/>
      <c r="P700" s="3" t="str">
        <f>IF(OR(COUNTIF('ثبت لیبل'!$B$11:$B$1010,TRIM(LEFT(C700,FIND("-",C700&amp;"-")-1)))&gt;0,COUNTIF('ثبت لیبل'!$B$11:$B$1010,SUBSTITUTE(TRIM(LEFT(C700,FIND("-",C700&amp;"-")-1)),"GD",""))&gt;0),"موجود","")</f>
        <v/>
      </c>
    </row>
    <row r="701" spans="1:16">
      <c r="A701" s="3">
        <v>700</v>
      </c>
      <c r="B701" s="3" t="s">
        <v>492</v>
      </c>
      <c r="C701" s="3" t="s">
        <v>743</v>
      </c>
      <c r="D701" s="3">
        <v>0.94</v>
      </c>
      <c r="E701" s="3">
        <v>750</v>
      </c>
      <c r="F701" s="3">
        <v>11</v>
      </c>
      <c r="G701" s="3">
        <v>11</v>
      </c>
      <c r="H701" s="3">
        <v>0</v>
      </c>
      <c r="I701" s="3">
        <v>0</v>
      </c>
      <c r="J701" s="3">
        <v>0</v>
      </c>
      <c r="K701" s="3">
        <v>0</v>
      </c>
      <c r="L701" s="3" t="s">
        <v>17</v>
      </c>
      <c r="M701" s="3" t="s">
        <v>21</v>
      </c>
      <c r="N701" s="2"/>
      <c r="O701" s="2"/>
      <c r="P701" s="3" t="str">
        <f>IF(OR(COUNTIF('ثبت لیبل'!$B$11:$B$1010,TRIM(LEFT(C701,FIND("-",C701&amp;"-")-1)))&gt;0,COUNTIF('ثبت لیبل'!$B$11:$B$1010,SUBSTITUTE(TRIM(LEFT(C701,FIND("-",C701&amp;"-")-1)),"GD",""))&gt;0),"موجود","")</f>
        <v/>
      </c>
    </row>
    <row r="702" spans="1:16">
      <c r="A702" s="3">
        <v>701</v>
      </c>
      <c r="B702" s="3" t="s">
        <v>492</v>
      </c>
      <c r="C702" s="3" t="s">
        <v>744</v>
      </c>
      <c r="D702" s="3">
        <v>0.95</v>
      </c>
      <c r="E702" s="3">
        <v>750</v>
      </c>
      <c r="F702" s="3">
        <v>11</v>
      </c>
      <c r="G702" s="3">
        <v>11</v>
      </c>
      <c r="H702" s="3">
        <v>0</v>
      </c>
      <c r="I702" s="3">
        <v>0</v>
      </c>
      <c r="J702" s="3">
        <v>0</v>
      </c>
      <c r="K702" s="3">
        <v>0</v>
      </c>
      <c r="L702" s="3" t="s">
        <v>17</v>
      </c>
      <c r="M702" s="3" t="s">
        <v>21</v>
      </c>
      <c r="N702" s="2"/>
      <c r="O702" s="2"/>
      <c r="P702" s="3" t="str">
        <f>IF(OR(COUNTIF('ثبت لیبل'!$B$11:$B$1010,TRIM(LEFT(C702,FIND("-",C702&amp;"-")-1)))&gt;0,COUNTIF('ثبت لیبل'!$B$11:$B$1010,SUBSTITUTE(TRIM(LEFT(C702,FIND("-",C702&amp;"-")-1)),"GD",""))&gt;0),"موجود","")</f>
        <v/>
      </c>
    </row>
    <row r="703" spans="1:16">
      <c r="A703" s="3">
        <v>702</v>
      </c>
      <c r="B703" s="3" t="s">
        <v>492</v>
      </c>
      <c r="C703" s="3" t="s">
        <v>745</v>
      </c>
      <c r="D703" s="3">
        <v>1.26</v>
      </c>
      <c r="E703" s="3">
        <v>750</v>
      </c>
      <c r="F703" s="3">
        <v>11</v>
      </c>
      <c r="G703" s="3">
        <v>11</v>
      </c>
      <c r="H703" s="3">
        <v>0</v>
      </c>
      <c r="I703" s="3">
        <v>0</v>
      </c>
      <c r="J703" s="3">
        <v>0</v>
      </c>
      <c r="K703" s="3">
        <v>0</v>
      </c>
      <c r="L703" s="3" t="s">
        <v>17</v>
      </c>
      <c r="M703" s="3" t="s">
        <v>21</v>
      </c>
      <c r="N703" s="2"/>
      <c r="O703" s="2"/>
      <c r="P703" s="3" t="str">
        <f>IF(OR(COUNTIF('ثبت لیبل'!$B$11:$B$1010,TRIM(LEFT(C703,FIND("-",C703&amp;"-")-1)))&gt;0,COUNTIF('ثبت لیبل'!$B$11:$B$1010,SUBSTITUTE(TRIM(LEFT(C703,FIND("-",C703&amp;"-")-1)),"GD",""))&gt;0),"موجود","")</f>
        <v/>
      </c>
    </row>
    <row r="704" spans="1:16">
      <c r="A704" s="3">
        <v>703</v>
      </c>
      <c r="B704" s="3" t="s">
        <v>492</v>
      </c>
      <c r="C704" s="3" t="s">
        <v>746</v>
      </c>
      <c r="D704" s="3">
        <v>3.55</v>
      </c>
      <c r="E704" s="3">
        <v>750</v>
      </c>
      <c r="F704" s="3">
        <v>17</v>
      </c>
      <c r="G704" s="3">
        <v>17</v>
      </c>
      <c r="H704" s="3">
        <v>0</v>
      </c>
      <c r="I704" s="3">
        <v>0</v>
      </c>
      <c r="J704" s="3">
        <v>0</v>
      </c>
      <c r="K704" s="3">
        <v>0</v>
      </c>
      <c r="L704" s="3" t="s">
        <v>17</v>
      </c>
      <c r="M704" s="3" t="s">
        <v>60</v>
      </c>
      <c r="N704" s="2"/>
      <c r="O704" s="2"/>
      <c r="P704" s="3" t="str">
        <f>IF(OR(COUNTIF('ثبت لیبل'!$B$11:$B$1010,TRIM(LEFT(C704,FIND("-",C704&amp;"-")-1)))&gt;0,COUNTIF('ثبت لیبل'!$B$11:$B$1010,SUBSTITUTE(TRIM(LEFT(C704,FIND("-",C704&amp;"-")-1)),"GD",""))&gt;0),"موجود","")</f>
        <v/>
      </c>
    </row>
    <row r="705" spans="1:16">
      <c r="A705" s="3">
        <v>704</v>
      </c>
      <c r="B705" s="3" t="s">
        <v>492</v>
      </c>
      <c r="C705" s="3" t="s">
        <v>747</v>
      </c>
      <c r="D705" s="3">
        <v>3.69</v>
      </c>
      <c r="E705" s="3">
        <v>750</v>
      </c>
      <c r="F705" s="3">
        <v>17</v>
      </c>
      <c r="G705" s="3">
        <v>17</v>
      </c>
      <c r="H705" s="3">
        <v>0</v>
      </c>
      <c r="I705" s="3">
        <v>0</v>
      </c>
      <c r="J705" s="3">
        <v>0</v>
      </c>
      <c r="K705" s="3">
        <v>0</v>
      </c>
      <c r="L705" s="3" t="s">
        <v>17</v>
      </c>
      <c r="M705" s="3" t="s">
        <v>60</v>
      </c>
      <c r="N705" s="2"/>
      <c r="O705" s="2"/>
      <c r="P705" s="3" t="str">
        <f>IF(OR(COUNTIF('ثبت لیبل'!$B$11:$B$1010,TRIM(LEFT(C705,FIND("-",C705&amp;"-")-1)))&gt;0,COUNTIF('ثبت لیبل'!$B$11:$B$1010,SUBSTITUTE(TRIM(LEFT(C705,FIND("-",C705&amp;"-")-1)),"GD",""))&gt;0),"موجود","")</f>
        <v/>
      </c>
    </row>
    <row r="706" spans="1:16">
      <c r="A706" s="3">
        <v>705</v>
      </c>
      <c r="B706" s="3" t="s">
        <v>492</v>
      </c>
      <c r="C706" s="3" t="s">
        <v>748</v>
      </c>
      <c r="D706" s="3">
        <v>2.92</v>
      </c>
      <c r="E706" s="3">
        <v>750</v>
      </c>
      <c r="F706" s="3">
        <v>17</v>
      </c>
      <c r="G706" s="3">
        <v>17</v>
      </c>
      <c r="H706" s="3">
        <v>0</v>
      </c>
      <c r="I706" s="3">
        <v>0</v>
      </c>
      <c r="J706" s="3">
        <v>0</v>
      </c>
      <c r="K706" s="3">
        <v>0</v>
      </c>
      <c r="L706" s="3" t="s">
        <v>17</v>
      </c>
      <c r="M706" s="3" t="s">
        <v>60</v>
      </c>
      <c r="N706" s="2"/>
      <c r="O706" s="2"/>
      <c r="P706" s="3" t="str">
        <f>IF(OR(COUNTIF('ثبت لیبل'!$B$11:$B$1010,TRIM(LEFT(C706,FIND("-",C706&amp;"-")-1)))&gt;0,COUNTIF('ثبت لیبل'!$B$11:$B$1010,SUBSTITUTE(TRIM(LEFT(C706,FIND("-",C706&amp;"-")-1)),"GD",""))&gt;0),"موجود","")</f>
        <v/>
      </c>
    </row>
    <row r="707" spans="1:16">
      <c r="A707" s="3">
        <v>706</v>
      </c>
      <c r="B707" s="3" t="s">
        <v>492</v>
      </c>
      <c r="C707" s="3" t="s">
        <v>749</v>
      </c>
      <c r="D707" s="3">
        <v>4.05</v>
      </c>
      <c r="E707" s="3">
        <v>750</v>
      </c>
      <c r="F707" s="3">
        <v>15</v>
      </c>
      <c r="G707" s="3">
        <v>15</v>
      </c>
      <c r="H707" s="3">
        <v>0</v>
      </c>
      <c r="I707" s="3">
        <v>0</v>
      </c>
      <c r="J707" s="3">
        <v>0</v>
      </c>
      <c r="K707" s="3">
        <v>0</v>
      </c>
      <c r="L707" s="3" t="s">
        <v>17</v>
      </c>
      <c r="M707" s="3" t="s">
        <v>76</v>
      </c>
      <c r="N707" s="2"/>
      <c r="O707" s="2"/>
      <c r="P707" s="3" t="str">
        <f>IF(OR(COUNTIF('ثبت لیبل'!$B$11:$B$1010,TRIM(LEFT(C707,FIND("-",C707&amp;"-")-1)))&gt;0,COUNTIF('ثبت لیبل'!$B$11:$B$1010,SUBSTITUTE(TRIM(LEFT(C707,FIND("-",C707&amp;"-")-1)),"GD",""))&gt;0),"موجود","")</f>
        <v/>
      </c>
    </row>
    <row r="708" spans="1:16">
      <c r="A708" s="3">
        <v>707</v>
      </c>
      <c r="B708" s="3" t="s">
        <v>492</v>
      </c>
      <c r="C708" s="3" t="s">
        <v>750</v>
      </c>
      <c r="D708" s="3">
        <v>3.72</v>
      </c>
      <c r="E708" s="3">
        <v>750</v>
      </c>
      <c r="F708" s="3">
        <v>15</v>
      </c>
      <c r="G708" s="3">
        <v>15</v>
      </c>
      <c r="H708" s="3">
        <v>0</v>
      </c>
      <c r="I708" s="3">
        <v>0</v>
      </c>
      <c r="J708" s="3">
        <v>0</v>
      </c>
      <c r="K708" s="3">
        <v>0</v>
      </c>
      <c r="L708" s="3" t="s">
        <v>17</v>
      </c>
      <c r="M708" s="3" t="s">
        <v>76</v>
      </c>
      <c r="N708" s="2"/>
      <c r="O708" s="2"/>
      <c r="P708" s="3" t="str">
        <f>IF(OR(COUNTIF('ثبت لیبل'!$B$11:$B$1010,TRIM(LEFT(C708,FIND("-",C708&amp;"-")-1)))&gt;0,COUNTIF('ثبت لیبل'!$B$11:$B$1010,SUBSTITUTE(TRIM(LEFT(C708,FIND("-",C708&amp;"-")-1)),"GD",""))&gt;0),"موجود","")</f>
        <v/>
      </c>
    </row>
    <row r="709" spans="1:16">
      <c r="A709" s="3">
        <v>708</v>
      </c>
      <c r="B709" s="3" t="s">
        <v>492</v>
      </c>
      <c r="C709" s="3" t="s">
        <v>751</v>
      </c>
      <c r="D709" s="3">
        <v>1.0900000000000001</v>
      </c>
      <c r="E709" s="3">
        <v>750</v>
      </c>
      <c r="F709" s="3">
        <v>16</v>
      </c>
      <c r="G709" s="3">
        <v>16</v>
      </c>
      <c r="H709" s="3">
        <v>0</v>
      </c>
      <c r="I709" s="3">
        <v>0</v>
      </c>
      <c r="J709" s="3">
        <v>0</v>
      </c>
      <c r="K709" s="3">
        <v>0</v>
      </c>
      <c r="L709" s="3" t="s">
        <v>17</v>
      </c>
      <c r="M709" s="3" t="s">
        <v>60</v>
      </c>
      <c r="N709" s="2"/>
      <c r="O709" s="2"/>
      <c r="P709" s="3" t="str">
        <f>IF(OR(COUNTIF('ثبت لیبل'!$B$11:$B$1010,TRIM(LEFT(C709,FIND("-",C709&amp;"-")-1)))&gt;0,COUNTIF('ثبت لیبل'!$B$11:$B$1010,SUBSTITUTE(TRIM(LEFT(C709,FIND("-",C709&amp;"-")-1)),"GD",""))&gt;0),"موجود","")</f>
        <v/>
      </c>
    </row>
    <row r="710" spans="1:16">
      <c r="A710" s="3">
        <v>709</v>
      </c>
      <c r="B710" s="3" t="s">
        <v>492</v>
      </c>
      <c r="C710" s="3" t="s">
        <v>752</v>
      </c>
      <c r="D710" s="3">
        <v>2.7</v>
      </c>
      <c r="E710" s="3">
        <v>750</v>
      </c>
      <c r="F710" s="3">
        <v>15</v>
      </c>
      <c r="G710" s="3">
        <v>15</v>
      </c>
      <c r="H710" s="3">
        <v>0</v>
      </c>
      <c r="I710" s="3">
        <v>0</v>
      </c>
      <c r="J710" s="3">
        <v>0</v>
      </c>
      <c r="K710" s="3">
        <v>0</v>
      </c>
      <c r="L710" s="3" t="s">
        <v>17</v>
      </c>
      <c r="M710" s="3" t="s">
        <v>76</v>
      </c>
      <c r="N710" s="2"/>
      <c r="O710" s="2"/>
      <c r="P710" s="3" t="str">
        <f>IF(OR(COUNTIF('ثبت لیبل'!$B$11:$B$1010,TRIM(LEFT(C710,FIND("-",C710&amp;"-")-1)))&gt;0,COUNTIF('ثبت لیبل'!$B$11:$B$1010,SUBSTITUTE(TRIM(LEFT(C710,FIND("-",C710&amp;"-")-1)),"GD",""))&gt;0),"موجود","")</f>
        <v/>
      </c>
    </row>
    <row r="711" spans="1:16">
      <c r="A711" s="3">
        <v>710</v>
      </c>
      <c r="B711" s="3" t="s">
        <v>492</v>
      </c>
      <c r="C711" s="3" t="s">
        <v>753</v>
      </c>
      <c r="D711" s="3">
        <v>7.47</v>
      </c>
      <c r="E711" s="3">
        <v>750</v>
      </c>
      <c r="F711" s="3">
        <v>15</v>
      </c>
      <c r="G711" s="3">
        <v>15</v>
      </c>
      <c r="H711" s="3">
        <v>0</v>
      </c>
      <c r="I711" s="3">
        <v>0</v>
      </c>
      <c r="J711" s="3">
        <v>0</v>
      </c>
      <c r="K711" s="3">
        <v>0</v>
      </c>
      <c r="L711" s="3" t="s">
        <v>20</v>
      </c>
      <c r="M711" s="3" t="s">
        <v>114</v>
      </c>
      <c r="N711" s="2"/>
      <c r="O711" s="2"/>
      <c r="P711" s="3" t="str">
        <f>IF(OR(COUNTIF('ثبت لیبل'!$B$11:$B$1010,TRIM(LEFT(C711,FIND("-",C711&amp;"-")-1)))&gt;0,COUNTIF('ثبت لیبل'!$B$11:$B$1010,SUBSTITUTE(TRIM(LEFT(C711,FIND("-",C711&amp;"-")-1)),"GD",""))&gt;0),"موجود","")</f>
        <v/>
      </c>
    </row>
    <row r="712" spans="1:16">
      <c r="A712" s="3">
        <v>711</v>
      </c>
      <c r="B712" s="3" t="s">
        <v>492</v>
      </c>
      <c r="C712" s="3" t="s">
        <v>754</v>
      </c>
      <c r="D712" s="3">
        <v>2.11</v>
      </c>
      <c r="E712" s="3">
        <v>750</v>
      </c>
      <c r="F712" s="3">
        <v>13</v>
      </c>
      <c r="G712" s="3">
        <v>13</v>
      </c>
      <c r="H712" s="3">
        <v>0</v>
      </c>
      <c r="I712" s="3">
        <v>0</v>
      </c>
      <c r="J712" s="3">
        <v>0</v>
      </c>
      <c r="K712" s="3">
        <v>0</v>
      </c>
      <c r="L712" s="3" t="s">
        <v>17</v>
      </c>
      <c r="M712" s="3" t="s">
        <v>76</v>
      </c>
      <c r="N712" s="2"/>
      <c r="O712" s="2"/>
      <c r="P712" s="3" t="str">
        <f>IF(OR(COUNTIF('ثبت لیبل'!$B$11:$B$1010,TRIM(LEFT(C712,FIND("-",C712&amp;"-")-1)))&gt;0,COUNTIF('ثبت لیبل'!$B$11:$B$1010,SUBSTITUTE(TRIM(LEFT(C712,FIND("-",C712&amp;"-")-1)),"GD",""))&gt;0),"موجود","")</f>
        <v/>
      </c>
    </row>
    <row r="713" spans="1:16">
      <c r="A713" s="3">
        <v>712</v>
      </c>
      <c r="B713" s="3" t="s">
        <v>492</v>
      </c>
      <c r="C713" s="3" t="s">
        <v>755</v>
      </c>
      <c r="D713" s="3">
        <v>1.28</v>
      </c>
      <c r="E713" s="3">
        <v>750</v>
      </c>
      <c r="F713" s="3">
        <v>12</v>
      </c>
      <c r="G713" s="3">
        <v>12</v>
      </c>
      <c r="H713" s="3">
        <v>0</v>
      </c>
      <c r="I713" s="3">
        <v>0</v>
      </c>
      <c r="J713" s="3">
        <v>0</v>
      </c>
      <c r="K713" s="3">
        <v>0</v>
      </c>
      <c r="L713" s="3" t="s">
        <v>17</v>
      </c>
      <c r="M713" s="3" t="s">
        <v>46</v>
      </c>
      <c r="N713" s="2"/>
      <c r="O713" s="2"/>
      <c r="P713" s="3" t="str">
        <f>IF(OR(COUNTIF('ثبت لیبل'!$B$11:$B$1010,TRIM(LEFT(C713,FIND("-",C713&amp;"-")-1)))&gt;0,COUNTIF('ثبت لیبل'!$B$11:$B$1010,SUBSTITUTE(TRIM(LEFT(C713,FIND("-",C713&amp;"-")-1)),"GD",""))&gt;0),"موجود","")</f>
        <v/>
      </c>
    </row>
    <row r="714" spans="1:16">
      <c r="A714" s="3">
        <v>713</v>
      </c>
      <c r="B714" s="3" t="s">
        <v>492</v>
      </c>
      <c r="C714" s="3" t="s">
        <v>756</v>
      </c>
      <c r="D714" s="3">
        <v>1.76</v>
      </c>
      <c r="E714" s="3">
        <v>750</v>
      </c>
      <c r="F714" s="3">
        <v>12</v>
      </c>
      <c r="G714" s="3">
        <v>12</v>
      </c>
      <c r="H714" s="3">
        <v>0</v>
      </c>
      <c r="I714" s="3">
        <v>0</v>
      </c>
      <c r="J714" s="3">
        <v>0</v>
      </c>
      <c r="K714" s="3">
        <v>0</v>
      </c>
      <c r="L714" s="3" t="s">
        <v>17</v>
      </c>
      <c r="M714" s="3" t="s">
        <v>46</v>
      </c>
      <c r="N714" s="2"/>
      <c r="O714" s="2"/>
      <c r="P714" s="3" t="str">
        <f>IF(OR(COUNTIF('ثبت لیبل'!$B$11:$B$1010,TRIM(LEFT(C714,FIND("-",C714&amp;"-")-1)))&gt;0,COUNTIF('ثبت لیبل'!$B$11:$B$1010,SUBSTITUTE(TRIM(LEFT(C714,FIND("-",C714&amp;"-")-1)),"GD",""))&gt;0),"موجود","")</f>
        <v/>
      </c>
    </row>
    <row r="715" spans="1:16">
      <c r="A715" s="3">
        <v>714</v>
      </c>
      <c r="B715" s="3" t="s">
        <v>492</v>
      </c>
      <c r="C715" s="3" t="s">
        <v>757</v>
      </c>
      <c r="D715" s="3">
        <v>1.86</v>
      </c>
      <c r="E715" s="3">
        <v>750</v>
      </c>
      <c r="F715" s="3">
        <v>15</v>
      </c>
      <c r="G715" s="3">
        <v>15</v>
      </c>
      <c r="H715" s="3">
        <v>0</v>
      </c>
      <c r="I715" s="3">
        <v>0</v>
      </c>
      <c r="J715" s="3">
        <v>0</v>
      </c>
      <c r="K715" s="3">
        <v>0</v>
      </c>
      <c r="L715" s="3" t="s">
        <v>17</v>
      </c>
      <c r="M715" s="3" t="s">
        <v>21</v>
      </c>
      <c r="N715" s="2"/>
      <c r="O715" s="2"/>
      <c r="P715" s="3" t="str">
        <f>IF(OR(COUNTIF('ثبت لیبل'!$B$11:$B$1010,TRIM(LEFT(C715,FIND("-",C715&amp;"-")-1)))&gt;0,COUNTIF('ثبت لیبل'!$B$11:$B$1010,SUBSTITUTE(TRIM(LEFT(C715,FIND("-",C715&amp;"-")-1)),"GD",""))&gt;0),"موجود","")</f>
        <v/>
      </c>
    </row>
    <row r="716" spans="1:16">
      <c r="A716" s="3">
        <v>715</v>
      </c>
      <c r="B716" s="3" t="s">
        <v>492</v>
      </c>
      <c r="C716" s="3" t="s">
        <v>758</v>
      </c>
      <c r="D716" s="3">
        <v>2.31</v>
      </c>
      <c r="E716" s="3">
        <v>750</v>
      </c>
      <c r="F716" s="3">
        <v>15</v>
      </c>
      <c r="G716" s="3">
        <v>15</v>
      </c>
      <c r="H716" s="3">
        <v>0</v>
      </c>
      <c r="I716" s="3">
        <v>0</v>
      </c>
      <c r="J716" s="3">
        <v>0</v>
      </c>
      <c r="K716" s="3">
        <v>0</v>
      </c>
      <c r="L716" s="3" t="s">
        <v>17</v>
      </c>
      <c r="M716" s="3" t="s">
        <v>21</v>
      </c>
      <c r="N716" s="2"/>
      <c r="O716" s="2"/>
      <c r="P716" s="3" t="str">
        <f>IF(OR(COUNTIF('ثبت لیبل'!$B$11:$B$1010,TRIM(LEFT(C716,FIND("-",C716&amp;"-")-1)))&gt;0,COUNTIF('ثبت لیبل'!$B$11:$B$1010,SUBSTITUTE(TRIM(LEFT(C716,FIND("-",C716&amp;"-")-1)),"GD",""))&gt;0),"موجود","")</f>
        <v/>
      </c>
    </row>
    <row r="717" spans="1:16">
      <c r="A717" s="3">
        <v>716</v>
      </c>
      <c r="B717" s="3" t="s">
        <v>492</v>
      </c>
      <c r="C717" s="3" t="s">
        <v>759</v>
      </c>
      <c r="D717" s="3">
        <v>1.42</v>
      </c>
      <c r="E717" s="3">
        <v>750</v>
      </c>
      <c r="F717" s="3">
        <v>15</v>
      </c>
      <c r="G717" s="3">
        <v>15</v>
      </c>
      <c r="H717" s="3">
        <v>0</v>
      </c>
      <c r="I717" s="3">
        <v>0</v>
      </c>
      <c r="J717" s="3">
        <v>0</v>
      </c>
      <c r="K717" s="3">
        <v>0</v>
      </c>
      <c r="L717" s="3" t="s">
        <v>17</v>
      </c>
      <c r="M717" s="3" t="s">
        <v>21</v>
      </c>
      <c r="N717" s="2"/>
      <c r="O717" s="2"/>
      <c r="P717" s="3" t="str">
        <f>IF(OR(COUNTIF('ثبت لیبل'!$B$11:$B$1010,TRIM(LEFT(C717,FIND("-",C717&amp;"-")-1)))&gt;0,COUNTIF('ثبت لیبل'!$B$11:$B$1010,SUBSTITUTE(TRIM(LEFT(C717,FIND("-",C717&amp;"-")-1)),"GD",""))&gt;0),"موجود","")</f>
        <v/>
      </c>
    </row>
    <row r="718" spans="1:16">
      <c r="A718" s="3">
        <v>717</v>
      </c>
      <c r="B718" s="3" t="s">
        <v>492</v>
      </c>
      <c r="C718" s="3" t="s">
        <v>760</v>
      </c>
      <c r="D718" s="3">
        <v>0.85</v>
      </c>
      <c r="E718" s="3">
        <v>750</v>
      </c>
      <c r="F718" s="3">
        <v>12</v>
      </c>
      <c r="G718" s="3">
        <v>12</v>
      </c>
      <c r="H718" s="3">
        <v>0</v>
      </c>
      <c r="I718" s="3">
        <v>0</v>
      </c>
      <c r="J718" s="3">
        <v>0</v>
      </c>
      <c r="K718" s="3">
        <v>0</v>
      </c>
      <c r="L718" s="3" t="s">
        <v>17</v>
      </c>
      <c r="M718" s="3" t="s">
        <v>60</v>
      </c>
      <c r="N718" s="2"/>
      <c r="O718" s="2"/>
      <c r="P718" s="3" t="str">
        <f>IF(OR(COUNTIF('ثبت لیبل'!$B$11:$B$1010,TRIM(LEFT(C718,FIND("-",C718&amp;"-")-1)))&gt;0,COUNTIF('ثبت لیبل'!$B$11:$B$1010,SUBSTITUTE(TRIM(LEFT(C718,FIND("-",C718&amp;"-")-1)),"GD",""))&gt;0),"موجود","")</f>
        <v/>
      </c>
    </row>
    <row r="719" spans="1:16">
      <c r="A719" s="3">
        <v>718</v>
      </c>
      <c r="B719" s="3" t="s">
        <v>492</v>
      </c>
      <c r="C719" s="3" t="s">
        <v>761</v>
      </c>
      <c r="D719" s="3">
        <v>0.49</v>
      </c>
      <c r="E719" s="3">
        <v>750</v>
      </c>
      <c r="F719" s="3">
        <v>12</v>
      </c>
      <c r="G719" s="3">
        <v>12</v>
      </c>
      <c r="H719" s="3">
        <v>0</v>
      </c>
      <c r="I719" s="3">
        <v>0</v>
      </c>
      <c r="J719" s="3">
        <v>0</v>
      </c>
      <c r="K719" s="3">
        <v>0</v>
      </c>
      <c r="L719" s="3" t="s">
        <v>17</v>
      </c>
      <c r="M719" s="3" t="s">
        <v>21</v>
      </c>
      <c r="N719" s="2"/>
      <c r="O719" s="2"/>
      <c r="P719" s="3" t="str">
        <f>IF(OR(COUNTIF('ثبت لیبل'!$B$11:$B$1010,TRIM(LEFT(C719,FIND("-",C719&amp;"-")-1)))&gt;0,COUNTIF('ثبت لیبل'!$B$11:$B$1010,SUBSTITUTE(TRIM(LEFT(C719,FIND("-",C719&amp;"-")-1)),"GD",""))&gt;0),"موجود","")</f>
        <v/>
      </c>
    </row>
    <row r="720" spans="1:16">
      <c r="A720" s="3">
        <v>719</v>
      </c>
      <c r="B720" s="3" t="s">
        <v>492</v>
      </c>
      <c r="C720" s="3" t="s">
        <v>762</v>
      </c>
      <c r="D720" s="3">
        <v>0.89</v>
      </c>
      <c r="E720" s="3">
        <v>750</v>
      </c>
      <c r="F720" s="3">
        <v>12</v>
      </c>
      <c r="G720" s="3">
        <v>12</v>
      </c>
      <c r="H720" s="3">
        <v>0</v>
      </c>
      <c r="I720" s="3">
        <v>0</v>
      </c>
      <c r="J720" s="3">
        <v>0</v>
      </c>
      <c r="K720" s="3">
        <v>0</v>
      </c>
      <c r="L720" s="3" t="s">
        <v>17</v>
      </c>
      <c r="M720" s="3" t="s">
        <v>21</v>
      </c>
      <c r="N720" s="2"/>
      <c r="O720" s="2"/>
      <c r="P720" s="3" t="str">
        <f>IF(OR(COUNTIF('ثبت لیبل'!$B$11:$B$1010,TRIM(LEFT(C720,FIND("-",C720&amp;"-")-1)))&gt;0,COUNTIF('ثبت لیبل'!$B$11:$B$1010,SUBSTITUTE(TRIM(LEFT(C720,FIND("-",C720&amp;"-")-1)),"GD",""))&gt;0),"موجود","")</f>
        <v/>
      </c>
    </row>
    <row r="721" spans="1:16">
      <c r="A721" s="3">
        <v>720</v>
      </c>
      <c r="B721" s="3" t="s">
        <v>492</v>
      </c>
      <c r="C721" s="3" t="s">
        <v>763</v>
      </c>
      <c r="D721" s="3">
        <v>0.55000000000000004</v>
      </c>
      <c r="E721" s="3">
        <v>750</v>
      </c>
      <c r="F721" s="3">
        <v>12</v>
      </c>
      <c r="G721" s="3">
        <v>12</v>
      </c>
      <c r="H721" s="3">
        <v>0</v>
      </c>
      <c r="I721" s="3">
        <v>0</v>
      </c>
      <c r="J721" s="3">
        <v>0</v>
      </c>
      <c r="K721" s="3">
        <v>0</v>
      </c>
      <c r="L721" s="3" t="s">
        <v>17</v>
      </c>
      <c r="M721" s="3" t="s">
        <v>21</v>
      </c>
      <c r="N721" s="2"/>
      <c r="O721" s="2"/>
      <c r="P721" s="3" t="str">
        <f>IF(OR(COUNTIF('ثبت لیبل'!$B$11:$B$1010,TRIM(LEFT(C721,FIND("-",C721&amp;"-")-1)))&gt;0,COUNTIF('ثبت لیبل'!$B$11:$B$1010,SUBSTITUTE(TRIM(LEFT(C721,FIND("-",C721&amp;"-")-1)),"GD",""))&gt;0),"موجود","")</f>
        <v/>
      </c>
    </row>
    <row r="722" spans="1:16">
      <c r="A722" s="3">
        <v>721</v>
      </c>
      <c r="B722" s="3" t="s">
        <v>492</v>
      </c>
      <c r="C722" s="3" t="s">
        <v>764</v>
      </c>
      <c r="D722" s="3">
        <v>1.2</v>
      </c>
      <c r="E722" s="3">
        <v>750</v>
      </c>
      <c r="F722" s="3">
        <v>12</v>
      </c>
      <c r="G722" s="3">
        <v>12</v>
      </c>
      <c r="H722" s="3">
        <v>0</v>
      </c>
      <c r="I722" s="3">
        <v>0</v>
      </c>
      <c r="J722" s="3">
        <v>0</v>
      </c>
      <c r="K722" s="3">
        <v>0</v>
      </c>
      <c r="L722" s="3" t="s">
        <v>17</v>
      </c>
      <c r="M722" s="3" t="s">
        <v>21</v>
      </c>
      <c r="N722" s="2"/>
      <c r="O722" s="2"/>
      <c r="P722" s="3" t="str">
        <f>IF(OR(COUNTIF('ثبت لیبل'!$B$11:$B$1010,TRIM(LEFT(C722,FIND("-",C722&amp;"-")-1)))&gt;0,COUNTIF('ثبت لیبل'!$B$11:$B$1010,SUBSTITUTE(TRIM(LEFT(C722,FIND("-",C722&amp;"-")-1)),"GD",""))&gt;0),"موجود","")</f>
        <v/>
      </c>
    </row>
    <row r="723" spans="1:16">
      <c r="A723" s="3">
        <v>722</v>
      </c>
      <c r="B723" s="3" t="s">
        <v>492</v>
      </c>
      <c r="C723" s="3" t="s">
        <v>765</v>
      </c>
      <c r="D723" s="3">
        <v>0.69</v>
      </c>
      <c r="E723" s="3">
        <v>750</v>
      </c>
      <c r="F723" s="3">
        <v>12</v>
      </c>
      <c r="G723" s="3">
        <v>12</v>
      </c>
      <c r="H723" s="3">
        <v>0</v>
      </c>
      <c r="I723" s="3">
        <v>0</v>
      </c>
      <c r="J723" s="3">
        <v>0</v>
      </c>
      <c r="K723" s="3">
        <v>0</v>
      </c>
      <c r="L723" s="3" t="s">
        <v>17</v>
      </c>
      <c r="M723" s="3" t="s">
        <v>21</v>
      </c>
      <c r="N723" s="2"/>
      <c r="O723" s="2"/>
      <c r="P723" s="3" t="str">
        <f>IF(OR(COUNTIF('ثبت لیبل'!$B$11:$B$1010,TRIM(LEFT(C723,FIND("-",C723&amp;"-")-1)))&gt;0,COUNTIF('ثبت لیبل'!$B$11:$B$1010,SUBSTITUTE(TRIM(LEFT(C723,FIND("-",C723&amp;"-")-1)),"GD",""))&gt;0),"موجود","")</f>
        <v/>
      </c>
    </row>
    <row r="724" spans="1:16">
      <c r="A724" s="3">
        <v>723</v>
      </c>
      <c r="B724" s="3" t="s">
        <v>492</v>
      </c>
      <c r="C724" s="3" t="s">
        <v>766</v>
      </c>
      <c r="D724" s="3">
        <v>1.1599999999999999</v>
      </c>
      <c r="E724" s="3">
        <v>750</v>
      </c>
      <c r="F724" s="3">
        <v>15</v>
      </c>
      <c r="G724" s="3">
        <v>15</v>
      </c>
      <c r="H724" s="3">
        <v>0</v>
      </c>
      <c r="I724" s="3">
        <v>0</v>
      </c>
      <c r="J724" s="3">
        <v>0</v>
      </c>
      <c r="K724" s="3">
        <v>0</v>
      </c>
      <c r="L724" s="3" t="s">
        <v>17</v>
      </c>
      <c r="M724" s="3" t="s">
        <v>60</v>
      </c>
      <c r="N724" s="2"/>
      <c r="O724" s="2"/>
      <c r="P724" s="3" t="str">
        <f>IF(OR(COUNTIF('ثبت لیبل'!$B$11:$B$1010,TRIM(LEFT(C724,FIND("-",C724&amp;"-")-1)))&gt;0,COUNTIF('ثبت لیبل'!$B$11:$B$1010,SUBSTITUTE(TRIM(LEFT(C724,FIND("-",C724&amp;"-")-1)),"GD",""))&gt;0),"موجود","")</f>
        <v/>
      </c>
    </row>
    <row r="725" spans="1:16">
      <c r="A725" s="3">
        <v>724</v>
      </c>
      <c r="B725" s="3" t="s">
        <v>492</v>
      </c>
      <c r="C725" s="3" t="s">
        <v>767</v>
      </c>
      <c r="D725" s="3">
        <v>1.27</v>
      </c>
      <c r="E725" s="3">
        <v>750</v>
      </c>
      <c r="F725" s="3">
        <v>12</v>
      </c>
      <c r="G725" s="3">
        <v>12</v>
      </c>
      <c r="H725" s="3">
        <v>0</v>
      </c>
      <c r="I725" s="3">
        <v>0</v>
      </c>
      <c r="J725" s="3">
        <v>0</v>
      </c>
      <c r="K725" s="3">
        <v>0</v>
      </c>
      <c r="L725" s="3" t="s">
        <v>17</v>
      </c>
      <c r="M725" s="3" t="s">
        <v>21</v>
      </c>
      <c r="N725" s="2"/>
      <c r="O725" s="2"/>
      <c r="P725" s="3" t="str">
        <f>IF(OR(COUNTIF('ثبت لیبل'!$B$11:$B$1010,TRIM(LEFT(C725,FIND("-",C725&amp;"-")-1)))&gt;0,COUNTIF('ثبت لیبل'!$B$11:$B$1010,SUBSTITUTE(TRIM(LEFT(C725,FIND("-",C725&amp;"-")-1)),"GD",""))&gt;0),"موجود","")</f>
        <v/>
      </c>
    </row>
    <row r="726" spans="1:16">
      <c r="A726" s="3">
        <v>725</v>
      </c>
      <c r="B726" s="3" t="s">
        <v>492</v>
      </c>
      <c r="C726" s="3" t="s">
        <v>768</v>
      </c>
      <c r="D726" s="3">
        <v>1.51</v>
      </c>
      <c r="E726" s="3">
        <v>750</v>
      </c>
      <c r="F726" s="3">
        <v>11</v>
      </c>
      <c r="G726" s="3">
        <v>11</v>
      </c>
      <c r="H726" s="3">
        <v>0</v>
      </c>
      <c r="I726" s="3">
        <v>0</v>
      </c>
      <c r="J726" s="3">
        <v>0</v>
      </c>
      <c r="K726" s="3">
        <v>0</v>
      </c>
      <c r="L726" s="3" t="s">
        <v>17</v>
      </c>
      <c r="M726" s="3" t="s">
        <v>76</v>
      </c>
      <c r="N726" s="2"/>
      <c r="O726" s="2"/>
      <c r="P726" s="3" t="str">
        <f>IF(OR(COUNTIF('ثبت لیبل'!$B$11:$B$1010,TRIM(LEFT(C726,FIND("-",C726&amp;"-")-1)))&gt;0,COUNTIF('ثبت لیبل'!$B$11:$B$1010,SUBSTITUTE(TRIM(LEFT(C726,FIND("-",C726&amp;"-")-1)),"GD",""))&gt;0),"موجود","")</f>
        <v/>
      </c>
    </row>
    <row r="727" spans="1:16">
      <c r="A727" s="3">
        <v>726</v>
      </c>
      <c r="B727" s="3" t="s">
        <v>492</v>
      </c>
      <c r="C727" s="3" t="s">
        <v>769</v>
      </c>
      <c r="D727" s="3">
        <v>1.9</v>
      </c>
      <c r="E727" s="3">
        <v>750</v>
      </c>
      <c r="F727" s="3">
        <v>13</v>
      </c>
      <c r="G727" s="3">
        <v>13</v>
      </c>
      <c r="H727" s="3">
        <v>0</v>
      </c>
      <c r="I727" s="3">
        <v>0</v>
      </c>
      <c r="J727" s="3">
        <v>0</v>
      </c>
      <c r="K727" s="3">
        <v>0</v>
      </c>
      <c r="L727" s="3" t="s">
        <v>17</v>
      </c>
      <c r="M727" s="3" t="s">
        <v>76</v>
      </c>
      <c r="N727" s="2"/>
      <c r="O727" s="2"/>
      <c r="P727" s="3" t="str">
        <f>IF(OR(COUNTIF('ثبت لیبل'!$B$11:$B$1010,TRIM(LEFT(C727,FIND("-",C727&amp;"-")-1)))&gt;0,COUNTIF('ثبت لیبل'!$B$11:$B$1010,SUBSTITUTE(TRIM(LEFT(C727,FIND("-",C727&amp;"-")-1)),"GD",""))&gt;0),"موجود","")</f>
        <v/>
      </c>
    </row>
    <row r="728" spans="1:16">
      <c r="A728" s="3">
        <v>727</v>
      </c>
      <c r="B728" s="3" t="s">
        <v>492</v>
      </c>
      <c r="C728" s="3" t="s">
        <v>770</v>
      </c>
      <c r="D728" s="3">
        <v>2</v>
      </c>
      <c r="E728" s="3">
        <v>750</v>
      </c>
      <c r="F728" s="3">
        <v>13</v>
      </c>
      <c r="G728" s="3">
        <v>13</v>
      </c>
      <c r="H728" s="3">
        <v>0</v>
      </c>
      <c r="I728" s="3">
        <v>0</v>
      </c>
      <c r="J728" s="3">
        <v>0</v>
      </c>
      <c r="K728" s="3">
        <v>0</v>
      </c>
      <c r="L728" s="3" t="s">
        <v>17</v>
      </c>
      <c r="M728" s="3" t="s">
        <v>76</v>
      </c>
      <c r="N728" s="2"/>
      <c r="O728" s="2"/>
      <c r="P728" s="3" t="str">
        <f>IF(OR(COUNTIF('ثبت لیبل'!$B$11:$B$1010,TRIM(LEFT(C728,FIND("-",C728&amp;"-")-1)))&gt;0,COUNTIF('ثبت لیبل'!$B$11:$B$1010,SUBSTITUTE(TRIM(LEFT(C728,FIND("-",C728&amp;"-")-1)),"GD",""))&gt;0),"موجود","")</f>
        <v/>
      </c>
    </row>
    <row r="729" spans="1:16">
      <c r="A729" s="3">
        <v>728</v>
      </c>
      <c r="B729" s="3" t="s">
        <v>492</v>
      </c>
      <c r="C729" s="3" t="s">
        <v>771</v>
      </c>
      <c r="D729" s="3">
        <v>2.2200000000000002</v>
      </c>
      <c r="E729" s="3">
        <v>750</v>
      </c>
      <c r="F729" s="3">
        <v>12</v>
      </c>
      <c r="G729" s="3">
        <v>12</v>
      </c>
      <c r="H729" s="3">
        <v>0</v>
      </c>
      <c r="I729" s="3">
        <v>0</v>
      </c>
      <c r="J729" s="3">
        <v>0</v>
      </c>
      <c r="K729" s="3">
        <v>0</v>
      </c>
      <c r="L729" s="3" t="s">
        <v>17</v>
      </c>
      <c r="M729" s="3" t="s">
        <v>18</v>
      </c>
      <c r="N729" s="2"/>
      <c r="O729" s="2"/>
      <c r="P729" s="3" t="str">
        <f>IF(OR(COUNTIF('ثبت لیبل'!$B$11:$B$1010,TRIM(LEFT(C729,FIND("-",C729&amp;"-")-1)))&gt;0,COUNTIF('ثبت لیبل'!$B$11:$B$1010,SUBSTITUTE(TRIM(LEFT(C729,FIND("-",C729&amp;"-")-1)),"GD",""))&gt;0),"موجود","")</f>
        <v/>
      </c>
    </row>
    <row r="730" spans="1:16">
      <c r="A730" s="3">
        <v>729</v>
      </c>
      <c r="B730" s="3" t="s">
        <v>492</v>
      </c>
      <c r="C730" s="3" t="s">
        <v>772</v>
      </c>
      <c r="D730" s="3">
        <v>1.6</v>
      </c>
      <c r="E730" s="3">
        <v>750</v>
      </c>
      <c r="F730" s="3">
        <v>12</v>
      </c>
      <c r="G730" s="3">
        <v>12</v>
      </c>
      <c r="H730" s="3">
        <v>0</v>
      </c>
      <c r="I730" s="3">
        <v>0</v>
      </c>
      <c r="J730" s="3">
        <v>0</v>
      </c>
      <c r="K730" s="3">
        <v>0</v>
      </c>
      <c r="L730" s="3" t="s">
        <v>17</v>
      </c>
      <c r="M730" s="3" t="s">
        <v>60</v>
      </c>
      <c r="N730" s="2"/>
      <c r="O730" s="2"/>
      <c r="P730" s="3" t="str">
        <f>IF(OR(COUNTIF('ثبت لیبل'!$B$11:$B$1010,TRIM(LEFT(C730,FIND("-",C730&amp;"-")-1)))&gt;0,COUNTIF('ثبت لیبل'!$B$11:$B$1010,SUBSTITUTE(TRIM(LEFT(C730,FIND("-",C730&amp;"-")-1)),"GD",""))&gt;0),"موجود","")</f>
        <v/>
      </c>
    </row>
    <row r="731" spans="1:16">
      <c r="A731" s="3">
        <v>730</v>
      </c>
      <c r="B731" s="3" t="s">
        <v>492</v>
      </c>
      <c r="C731" s="3" t="s">
        <v>773</v>
      </c>
      <c r="D731" s="3">
        <v>0.85</v>
      </c>
      <c r="E731" s="3">
        <v>750</v>
      </c>
      <c r="F731" s="3">
        <v>12</v>
      </c>
      <c r="G731" s="3">
        <v>12</v>
      </c>
      <c r="H731" s="3">
        <v>0</v>
      </c>
      <c r="I731" s="3">
        <v>0</v>
      </c>
      <c r="J731" s="3">
        <v>0</v>
      </c>
      <c r="K731" s="3">
        <v>0</v>
      </c>
      <c r="L731" s="3" t="s">
        <v>17</v>
      </c>
      <c r="M731" s="3" t="s">
        <v>21</v>
      </c>
      <c r="N731" s="2"/>
      <c r="O731" s="2"/>
      <c r="P731" s="3" t="str">
        <f>IF(OR(COUNTIF('ثبت لیبل'!$B$11:$B$1010,TRIM(LEFT(C731,FIND("-",C731&amp;"-")-1)))&gt;0,COUNTIF('ثبت لیبل'!$B$11:$B$1010,SUBSTITUTE(TRIM(LEFT(C731,FIND("-",C731&amp;"-")-1)),"GD",""))&gt;0),"موجود","")</f>
        <v/>
      </c>
    </row>
    <row r="732" spans="1:16">
      <c r="A732" s="3">
        <v>731</v>
      </c>
      <c r="B732" s="3" t="s">
        <v>492</v>
      </c>
      <c r="C732" s="3" t="s">
        <v>774</v>
      </c>
      <c r="D732" s="3">
        <v>0.91</v>
      </c>
      <c r="E732" s="3">
        <v>750</v>
      </c>
      <c r="F732" s="3">
        <v>12</v>
      </c>
      <c r="G732" s="3">
        <v>12</v>
      </c>
      <c r="H732" s="3">
        <v>0</v>
      </c>
      <c r="I732" s="3">
        <v>0</v>
      </c>
      <c r="J732" s="3">
        <v>0</v>
      </c>
      <c r="K732" s="3">
        <v>0</v>
      </c>
      <c r="L732" s="3" t="s">
        <v>17</v>
      </c>
      <c r="M732" s="3" t="s">
        <v>60</v>
      </c>
      <c r="N732" s="2"/>
      <c r="O732" s="2"/>
      <c r="P732" s="3" t="str">
        <f>IF(OR(COUNTIF('ثبت لیبل'!$B$11:$B$1010,TRIM(LEFT(C732,FIND("-",C732&amp;"-")-1)))&gt;0,COUNTIF('ثبت لیبل'!$B$11:$B$1010,SUBSTITUTE(TRIM(LEFT(C732,FIND("-",C732&amp;"-")-1)),"GD",""))&gt;0),"موجود","")</f>
        <v/>
      </c>
    </row>
    <row r="733" spans="1:16">
      <c r="A733" s="3">
        <v>732</v>
      </c>
      <c r="B733" s="3" t="s">
        <v>492</v>
      </c>
      <c r="C733" s="3" t="s">
        <v>775</v>
      </c>
      <c r="D733" s="3">
        <v>0.2</v>
      </c>
      <c r="E733" s="3">
        <v>750</v>
      </c>
      <c r="F733" s="3">
        <v>13</v>
      </c>
      <c r="G733" s="3">
        <v>13</v>
      </c>
      <c r="H733" s="3">
        <v>0</v>
      </c>
      <c r="I733" s="3">
        <v>0</v>
      </c>
      <c r="J733" s="3">
        <v>0</v>
      </c>
      <c r="K733" s="3">
        <v>0</v>
      </c>
      <c r="L733" s="3" t="s">
        <v>17</v>
      </c>
      <c r="M733" s="3" t="s">
        <v>776</v>
      </c>
      <c r="N733" s="2"/>
      <c r="O733" s="2"/>
      <c r="P733" s="3" t="str">
        <f>IF(OR(COUNTIF('ثبت لیبل'!$B$11:$B$1010,TRIM(LEFT(C733,FIND("-",C733&amp;"-")-1)))&gt;0,COUNTIF('ثبت لیبل'!$B$11:$B$1010,SUBSTITUTE(TRIM(LEFT(C733,FIND("-",C733&amp;"-")-1)),"GD",""))&gt;0),"موجود","")</f>
        <v/>
      </c>
    </row>
    <row r="734" spans="1:16">
      <c r="A734" s="3">
        <v>733</v>
      </c>
      <c r="B734" s="3" t="s">
        <v>492</v>
      </c>
      <c r="C734" s="3" t="s">
        <v>777</v>
      </c>
      <c r="D734" s="3">
        <v>1.0900000000000001</v>
      </c>
      <c r="E734" s="3">
        <v>750</v>
      </c>
      <c r="F734" s="3">
        <v>12</v>
      </c>
      <c r="G734" s="3">
        <v>12</v>
      </c>
      <c r="H734" s="3">
        <v>0</v>
      </c>
      <c r="I734" s="3">
        <v>0</v>
      </c>
      <c r="J734" s="3">
        <v>0</v>
      </c>
      <c r="K734" s="3">
        <v>0</v>
      </c>
      <c r="L734" s="3" t="s">
        <v>17</v>
      </c>
      <c r="M734" s="3" t="s">
        <v>76</v>
      </c>
      <c r="N734" s="2"/>
      <c r="O734" s="2"/>
      <c r="P734" s="3" t="str">
        <f>IF(OR(COUNTIF('ثبت لیبل'!$B$11:$B$1010,TRIM(LEFT(C734,FIND("-",C734&amp;"-")-1)))&gt;0,COUNTIF('ثبت لیبل'!$B$11:$B$1010,SUBSTITUTE(TRIM(LEFT(C734,FIND("-",C734&amp;"-")-1)),"GD",""))&gt;0),"موجود","")</f>
        <v/>
      </c>
    </row>
    <row r="735" spans="1:16">
      <c r="A735" s="3">
        <v>734</v>
      </c>
      <c r="B735" s="3" t="s">
        <v>492</v>
      </c>
      <c r="C735" s="3" t="s">
        <v>778</v>
      </c>
      <c r="D735" s="3">
        <v>0.7</v>
      </c>
      <c r="E735" s="3">
        <v>750</v>
      </c>
      <c r="F735" s="3">
        <v>12</v>
      </c>
      <c r="G735" s="3">
        <v>12</v>
      </c>
      <c r="H735" s="3">
        <v>0</v>
      </c>
      <c r="I735" s="3">
        <v>0</v>
      </c>
      <c r="J735" s="3">
        <v>0</v>
      </c>
      <c r="K735" s="3">
        <v>0</v>
      </c>
      <c r="L735" s="3" t="s">
        <v>17</v>
      </c>
      <c r="M735" s="3" t="s">
        <v>76</v>
      </c>
      <c r="N735" s="2"/>
      <c r="O735" s="2"/>
      <c r="P735" s="3" t="str">
        <f>IF(OR(COUNTIF('ثبت لیبل'!$B$11:$B$1010,TRIM(LEFT(C735,FIND("-",C735&amp;"-")-1)))&gt;0,COUNTIF('ثبت لیبل'!$B$11:$B$1010,SUBSTITUTE(TRIM(LEFT(C735,FIND("-",C735&amp;"-")-1)),"GD",""))&gt;0),"موجود","")</f>
        <v/>
      </c>
    </row>
    <row r="736" spans="1:16">
      <c r="A736" s="3">
        <v>735</v>
      </c>
      <c r="B736" s="3" t="s">
        <v>492</v>
      </c>
      <c r="C736" s="3" t="s">
        <v>779</v>
      </c>
      <c r="D736" s="3">
        <v>1.06</v>
      </c>
      <c r="E736" s="3">
        <v>750</v>
      </c>
      <c r="F736" s="3">
        <v>12</v>
      </c>
      <c r="G736" s="3">
        <v>12</v>
      </c>
      <c r="H736" s="3">
        <v>0</v>
      </c>
      <c r="I736" s="3">
        <v>0</v>
      </c>
      <c r="J736" s="3">
        <v>0</v>
      </c>
      <c r="K736" s="3">
        <v>0</v>
      </c>
      <c r="L736" s="3" t="s">
        <v>17</v>
      </c>
      <c r="M736" s="3" t="s">
        <v>76</v>
      </c>
      <c r="N736" s="2"/>
      <c r="O736" s="2"/>
      <c r="P736" s="3" t="str">
        <f>IF(OR(COUNTIF('ثبت لیبل'!$B$11:$B$1010,TRIM(LEFT(C736,FIND("-",C736&amp;"-")-1)))&gt;0,COUNTIF('ثبت لیبل'!$B$11:$B$1010,SUBSTITUTE(TRIM(LEFT(C736,FIND("-",C736&amp;"-")-1)),"GD",""))&gt;0),"موجود","")</f>
        <v/>
      </c>
    </row>
    <row r="737" spans="1:16">
      <c r="A737" s="3">
        <v>736</v>
      </c>
      <c r="B737" s="3" t="s">
        <v>492</v>
      </c>
      <c r="C737" s="3" t="s">
        <v>780</v>
      </c>
      <c r="D737" s="3">
        <v>0.99</v>
      </c>
      <c r="E737" s="3">
        <v>750</v>
      </c>
      <c r="F737" s="3">
        <v>11</v>
      </c>
      <c r="G737" s="3">
        <v>11</v>
      </c>
      <c r="H737" s="3">
        <v>0</v>
      </c>
      <c r="I737" s="3">
        <v>0</v>
      </c>
      <c r="J737" s="3">
        <v>0</v>
      </c>
      <c r="K737" s="3">
        <v>0</v>
      </c>
      <c r="L737" s="3" t="s">
        <v>17</v>
      </c>
      <c r="M737" s="3" t="s">
        <v>76</v>
      </c>
      <c r="N737" s="2"/>
      <c r="O737" s="2"/>
      <c r="P737" s="3" t="str">
        <f>IF(OR(COUNTIF('ثبت لیبل'!$B$11:$B$1010,TRIM(LEFT(C737,FIND("-",C737&amp;"-")-1)))&gt;0,COUNTIF('ثبت لیبل'!$B$11:$B$1010,SUBSTITUTE(TRIM(LEFT(C737,FIND("-",C737&amp;"-")-1)),"GD",""))&gt;0),"موجود","")</f>
        <v/>
      </c>
    </row>
    <row r="738" spans="1:16">
      <c r="A738" s="3">
        <v>737</v>
      </c>
      <c r="B738" s="3" t="s">
        <v>492</v>
      </c>
      <c r="C738" s="3" t="s">
        <v>781</v>
      </c>
      <c r="D738" s="3">
        <v>1.46</v>
      </c>
      <c r="E738" s="3">
        <v>750</v>
      </c>
      <c r="F738" s="3">
        <v>11</v>
      </c>
      <c r="G738" s="3">
        <v>11</v>
      </c>
      <c r="H738" s="3">
        <v>0</v>
      </c>
      <c r="I738" s="3">
        <v>0</v>
      </c>
      <c r="J738" s="3">
        <v>0</v>
      </c>
      <c r="K738" s="3">
        <v>0</v>
      </c>
      <c r="L738" s="3" t="s">
        <v>17</v>
      </c>
      <c r="M738" s="3" t="s">
        <v>76</v>
      </c>
      <c r="N738" s="2"/>
      <c r="O738" s="2"/>
      <c r="P738" s="3" t="str">
        <f>IF(OR(COUNTIF('ثبت لیبل'!$B$11:$B$1010,TRIM(LEFT(C738,FIND("-",C738&amp;"-")-1)))&gt;0,COUNTIF('ثبت لیبل'!$B$11:$B$1010,SUBSTITUTE(TRIM(LEFT(C738,FIND("-",C738&amp;"-")-1)),"GD",""))&gt;0),"موجود","")</f>
        <v/>
      </c>
    </row>
    <row r="739" spans="1:16">
      <c r="A739" s="3">
        <v>738</v>
      </c>
      <c r="B739" s="3" t="s">
        <v>492</v>
      </c>
      <c r="C739" s="3" t="s">
        <v>782</v>
      </c>
      <c r="D739" s="3">
        <v>1</v>
      </c>
      <c r="E739" s="3">
        <v>750</v>
      </c>
      <c r="F739" s="3">
        <v>12</v>
      </c>
      <c r="G739" s="3">
        <v>12</v>
      </c>
      <c r="H739" s="3">
        <v>0</v>
      </c>
      <c r="I739" s="3">
        <v>0</v>
      </c>
      <c r="J739" s="3">
        <v>0</v>
      </c>
      <c r="K739" s="3">
        <v>0</v>
      </c>
      <c r="L739" s="3" t="s">
        <v>17</v>
      </c>
      <c r="M739" s="3" t="s">
        <v>76</v>
      </c>
      <c r="N739" s="2"/>
      <c r="O739" s="2"/>
      <c r="P739" s="3" t="str">
        <f>IF(OR(COUNTIF('ثبت لیبل'!$B$11:$B$1010,TRIM(LEFT(C739,FIND("-",C739&amp;"-")-1)))&gt;0,COUNTIF('ثبت لیبل'!$B$11:$B$1010,SUBSTITUTE(TRIM(LEFT(C739,FIND("-",C739&amp;"-")-1)),"GD",""))&gt;0),"موجود","")</f>
        <v/>
      </c>
    </row>
    <row r="740" spans="1:16">
      <c r="A740" s="3">
        <v>739</v>
      </c>
      <c r="B740" s="3" t="s">
        <v>492</v>
      </c>
      <c r="C740" s="3" t="s">
        <v>783</v>
      </c>
      <c r="D740" s="3">
        <v>2.0499999999999998</v>
      </c>
      <c r="E740" s="3">
        <v>750</v>
      </c>
      <c r="F740" s="3">
        <v>15</v>
      </c>
      <c r="G740" s="3">
        <v>15</v>
      </c>
      <c r="H740" s="3">
        <v>0</v>
      </c>
      <c r="I740" s="3">
        <v>0</v>
      </c>
      <c r="J740" s="3">
        <v>0</v>
      </c>
      <c r="K740" s="3">
        <v>0</v>
      </c>
      <c r="L740" s="3" t="s">
        <v>17</v>
      </c>
      <c r="M740" s="3" t="s">
        <v>21</v>
      </c>
      <c r="N740" s="2"/>
      <c r="O740" s="2"/>
      <c r="P740" s="3" t="str">
        <f>IF(OR(COUNTIF('ثبت لیبل'!$B$11:$B$1010,TRIM(LEFT(C740,FIND("-",C740&amp;"-")-1)))&gt;0,COUNTIF('ثبت لیبل'!$B$11:$B$1010,SUBSTITUTE(TRIM(LEFT(C740,FIND("-",C740&amp;"-")-1)),"GD",""))&gt;0),"موجود","")</f>
        <v/>
      </c>
    </row>
    <row r="741" spans="1:16">
      <c r="A741" s="3">
        <v>740</v>
      </c>
      <c r="B741" s="3" t="s">
        <v>492</v>
      </c>
      <c r="C741" s="3" t="s">
        <v>784</v>
      </c>
      <c r="D741" s="3">
        <v>1.66</v>
      </c>
      <c r="E741" s="3">
        <v>750</v>
      </c>
      <c r="F741" s="3">
        <v>12</v>
      </c>
      <c r="G741" s="3">
        <v>12</v>
      </c>
      <c r="H741" s="3">
        <v>0</v>
      </c>
      <c r="I741" s="3">
        <v>0</v>
      </c>
      <c r="J741" s="3">
        <v>0</v>
      </c>
      <c r="K741" s="3">
        <v>0</v>
      </c>
      <c r="L741" s="3" t="s">
        <v>17</v>
      </c>
      <c r="M741" s="3" t="s">
        <v>21</v>
      </c>
      <c r="N741" s="2"/>
      <c r="O741" s="2"/>
      <c r="P741" s="3" t="str">
        <f>IF(OR(COUNTIF('ثبت لیبل'!$B$11:$B$1010,TRIM(LEFT(C741,FIND("-",C741&amp;"-")-1)))&gt;0,COUNTIF('ثبت لیبل'!$B$11:$B$1010,SUBSTITUTE(TRIM(LEFT(C741,FIND("-",C741&amp;"-")-1)),"GD",""))&gt;0),"موجود","")</f>
        <v/>
      </c>
    </row>
    <row r="742" spans="1:16">
      <c r="A742" s="3">
        <v>741</v>
      </c>
      <c r="B742" s="3" t="s">
        <v>492</v>
      </c>
      <c r="C742" s="3" t="s">
        <v>785</v>
      </c>
      <c r="D742" s="3">
        <v>1.06</v>
      </c>
      <c r="E742" s="3">
        <v>750</v>
      </c>
      <c r="F742" s="3">
        <v>12</v>
      </c>
      <c r="G742" s="3">
        <v>12</v>
      </c>
      <c r="H742" s="3">
        <v>0</v>
      </c>
      <c r="I742" s="3">
        <v>0</v>
      </c>
      <c r="J742" s="3">
        <v>0</v>
      </c>
      <c r="K742" s="3">
        <v>0</v>
      </c>
      <c r="L742" s="3" t="s">
        <v>17</v>
      </c>
      <c r="M742" s="3" t="s">
        <v>60</v>
      </c>
      <c r="N742" s="2"/>
      <c r="O742" s="2"/>
      <c r="P742" s="3" t="str">
        <f>IF(OR(COUNTIF('ثبت لیبل'!$B$11:$B$1010,TRIM(LEFT(C742,FIND("-",C742&amp;"-")-1)))&gt;0,COUNTIF('ثبت لیبل'!$B$11:$B$1010,SUBSTITUTE(TRIM(LEFT(C742,FIND("-",C742&amp;"-")-1)),"GD",""))&gt;0),"موجود","")</f>
        <v/>
      </c>
    </row>
    <row r="743" spans="1:16">
      <c r="A743" s="3">
        <v>742</v>
      </c>
      <c r="B743" s="3" t="s">
        <v>492</v>
      </c>
      <c r="C743" s="3" t="s">
        <v>786</v>
      </c>
      <c r="D743" s="3">
        <v>2.2799999999999998</v>
      </c>
      <c r="E743" s="3">
        <v>750</v>
      </c>
      <c r="F743" s="3">
        <v>12</v>
      </c>
      <c r="G743" s="3">
        <v>12</v>
      </c>
      <c r="H743" s="3">
        <v>0</v>
      </c>
      <c r="I743" s="3">
        <v>0</v>
      </c>
      <c r="J743" s="3">
        <v>0</v>
      </c>
      <c r="K743" s="3">
        <v>0</v>
      </c>
      <c r="L743" s="3" t="s">
        <v>20</v>
      </c>
      <c r="M743" s="3" t="s">
        <v>18</v>
      </c>
      <c r="N743" s="2"/>
      <c r="O743" s="2"/>
      <c r="P743" s="3" t="str">
        <f>IF(OR(COUNTIF('ثبت لیبل'!$B$11:$B$1010,TRIM(LEFT(C743,FIND("-",C743&amp;"-")-1)))&gt;0,COUNTIF('ثبت لیبل'!$B$11:$B$1010,SUBSTITUTE(TRIM(LEFT(C743,FIND("-",C743&amp;"-")-1)),"GD",""))&gt;0),"موجود","")</f>
        <v/>
      </c>
    </row>
    <row r="744" spans="1:16">
      <c r="A744" s="3">
        <v>743</v>
      </c>
      <c r="B744" s="3" t="s">
        <v>492</v>
      </c>
      <c r="C744" s="3" t="s">
        <v>787</v>
      </c>
      <c r="D744" s="3">
        <v>0.57999999999999996</v>
      </c>
      <c r="E744" s="3">
        <v>750</v>
      </c>
      <c r="F744" s="3">
        <v>12</v>
      </c>
      <c r="G744" s="3">
        <v>12</v>
      </c>
      <c r="H744" s="3">
        <v>0</v>
      </c>
      <c r="I744" s="3">
        <v>0</v>
      </c>
      <c r="J744" s="3">
        <v>0</v>
      </c>
      <c r="K744" s="3">
        <v>0</v>
      </c>
      <c r="L744" s="3" t="s">
        <v>17</v>
      </c>
      <c r="M744" s="3" t="s">
        <v>21</v>
      </c>
      <c r="N744" s="2"/>
      <c r="O744" s="2"/>
      <c r="P744" s="3" t="str">
        <f>IF(OR(COUNTIF('ثبت لیبل'!$B$11:$B$1010,TRIM(LEFT(C744,FIND("-",C744&amp;"-")-1)))&gt;0,COUNTIF('ثبت لیبل'!$B$11:$B$1010,SUBSTITUTE(TRIM(LEFT(C744,FIND("-",C744&amp;"-")-1)),"GD",""))&gt;0),"موجود","")</f>
        <v/>
      </c>
    </row>
    <row r="745" spans="1:16">
      <c r="A745" s="3">
        <v>744</v>
      </c>
      <c r="B745" s="3" t="s">
        <v>492</v>
      </c>
      <c r="C745" s="3" t="s">
        <v>788</v>
      </c>
      <c r="D745" s="3">
        <v>0.93</v>
      </c>
      <c r="E745" s="3">
        <v>750</v>
      </c>
      <c r="F745" s="3">
        <v>12</v>
      </c>
      <c r="G745" s="3">
        <v>12</v>
      </c>
      <c r="H745" s="3">
        <v>0</v>
      </c>
      <c r="I745" s="3">
        <v>0</v>
      </c>
      <c r="J745" s="3">
        <v>0</v>
      </c>
      <c r="K745" s="3">
        <v>0</v>
      </c>
      <c r="L745" s="3" t="s">
        <v>17</v>
      </c>
      <c r="M745" s="3" t="s">
        <v>60</v>
      </c>
      <c r="N745" s="2"/>
      <c r="O745" s="2"/>
      <c r="P745" s="3" t="str">
        <f>IF(OR(COUNTIF('ثبت لیبل'!$B$11:$B$1010,TRIM(LEFT(C745,FIND("-",C745&amp;"-")-1)))&gt;0,COUNTIF('ثبت لیبل'!$B$11:$B$1010,SUBSTITUTE(TRIM(LEFT(C745,FIND("-",C745&amp;"-")-1)),"GD",""))&gt;0),"موجود","")</f>
        <v/>
      </c>
    </row>
    <row r="746" spans="1:16">
      <c r="A746" s="3">
        <v>745</v>
      </c>
      <c r="B746" s="3" t="s">
        <v>492</v>
      </c>
      <c r="C746" s="3" t="s">
        <v>789</v>
      </c>
      <c r="D746" s="3">
        <v>6.37</v>
      </c>
      <c r="E746" s="3">
        <v>750</v>
      </c>
      <c r="F746" s="3">
        <v>24</v>
      </c>
      <c r="G746" s="3">
        <v>24</v>
      </c>
      <c r="H746" s="3">
        <v>0</v>
      </c>
      <c r="I746" s="3">
        <v>0</v>
      </c>
      <c r="J746" s="3">
        <v>0</v>
      </c>
      <c r="K746" s="3">
        <v>0</v>
      </c>
      <c r="L746" s="3" t="s">
        <v>17</v>
      </c>
      <c r="M746" s="3" t="s">
        <v>60</v>
      </c>
      <c r="N746" s="2"/>
      <c r="O746" s="2"/>
      <c r="P746" s="3" t="str">
        <f>IF(OR(COUNTIF('ثبت لیبل'!$B$11:$B$1010,TRIM(LEFT(C746,FIND("-",C746&amp;"-")-1)))&gt;0,COUNTIF('ثبت لیبل'!$B$11:$B$1010,SUBSTITUTE(TRIM(LEFT(C746,FIND("-",C746&amp;"-")-1)),"GD",""))&gt;0),"موجود","")</f>
        <v/>
      </c>
    </row>
    <row r="747" spans="1:16">
      <c r="A747" s="3">
        <v>746</v>
      </c>
      <c r="B747" s="3" t="s">
        <v>492</v>
      </c>
      <c r="C747" s="3" t="s">
        <v>790</v>
      </c>
      <c r="D747" s="3">
        <v>4.21</v>
      </c>
      <c r="E747" s="3">
        <v>750</v>
      </c>
      <c r="F747" s="3">
        <v>24</v>
      </c>
      <c r="G747" s="3">
        <v>24</v>
      </c>
      <c r="H747" s="3">
        <v>0</v>
      </c>
      <c r="I747" s="3">
        <v>0</v>
      </c>
      <c r="J747" s="3">
        <v>0</v>
      </c>
      <c r="K747" s="3">
        <v>0</v>
      </c>
      <c r="L747" s="3" t="s">
        <v>17</v>
      </c>
      <c r="M747" s="3" t="s">
        <v>21</v>
      </c>
      <c r="N747" s="2"/>
      <c r="O747" s="2"/>
      <c r="P747" s="3" t="str">
        <f>IF(OR(COUNTIF('ثبت لیبل'!$B$11:$B$1010,TRIM(LEFT(C747,FIND("-",C747&amp;"-")-1)))&gt;0,COUNTIF('ثبت لیبل'!$B$11:$B$1010,SUBSTITUTE(TRIM(LEFT(C747,FIND("-",C747&amp;"-")-1)),"GD",""))&gt;0),"موجود","")</f>
        <v/>
      </c>
    </row>
    <row r="748" spans="1:16">
      <c r="A748" s="3">
        <v>747</v>
      </c>
      <c r="B748" s="3" t="s">
        <v>492</v>
      </c>
      <c r="C748" s="3" t="s">
        <v>791</v>
      </c>
      <c r="D748" s="3">
        <v>4.42</v>
      </c>
      <c r="E748" s="3">
        <v>750</v>
      </c>
      <c r="F748" s="3">
        <v>20</v>
      </c>
      <c r="G748" s="3">
        <v>20</v>
      </c>
      <c r="H748" s="3">
        <v>0</v>
      </c>
      <c r="I748" s="3">
        <v>0</v>
      </c>
      <c r="J748" s="3">
        <v>0</v>
      </c>
      <c r="K748" s="3">
        <v>0</v>
      </c>
      <c r="L748" s="3" t="s">
        <v>20</v>
      </c>
      <c r="M748" s="3" t="s">
        <v>60</v>
      </c>
      <c r="N748" s="2"/>
      <c r="O748" s="2"/>
      <c r="P748" s="3" t="str">
        <f>IF(OR(COUNTIF('ثبت لیبل'!$B$11:$B$1010,TRIM(LEFT(C748,FIND("-",C748&amp;"-")-1)))&gt;0,COUNTIF('ثبت لیبل'!$B$11:$B$1010,SUBSTITUTE(TRIM(LEFT(C748,FIND("-",C748&amp;"-")-1)),"GD",""))&gt;0),"موجود","")</f>
        <v/>
      </c>
    </row>
    <row r="749" spans="1:16">
      <c r="A749" s="3">
        <v>748</v>
      </c>
      <c r="B749" s="3" t="s">
        <v>492</v>
      </c>
      <c r="C749" s="3" t="s">
        <v>792</v>
      </c>
      <c r="D749" s="3">
        <v>0.42</v>
      </c>
      <c r="E749" s="3">
        <v>750</v>
      </c>
      <c r="F749" s="3">
        <v>15</v>
      </c>
      <c r="G749" s="3">
        <v>15</v>
      </c>
      <c r="H749" s="3">
        <v>0</v>
      </c>
      <c r="I749" s="3">
        <v>0</v>
      </c>
      <c r="J749" s="3">
        <v>0</v>
      </c>
      <c r="K749" s="3">
        <v>0</v>
      </c>
      <c r="L749" s="3" t="s">
        <v>17</v>
      </c>
      <c r="M749" s="3" t="s">
        <v>21</v>
      </c>
      <c r="N749" s="2"/>
      <c r="O749" s="2"/>
      <c r="P749" s="3" t="str">
        <f>IF(OR(COUNTIF('ثبت لیبل'!$B$11:$B$1010,TRIM(LEFT(C749,FIND("-",C749&amp;"-")-1)))&gt;0,COUNTIF('ثبت لیبل'!$B$11:$B$1010,SUBSTITUTE(TRIM(LEFT(C749,FIND("-",C749&amp;"-")-1)),"GD",""))&gt;0),"موجود","")</f>
        <v/>
      </c>
    </row>
    <row r="750" spans="1:16">
      <c r="A750" s="3">
        <v>749</v>
      </c>
      <c r="B750" s="3" t="s">
        <v>492</v>
      </c>
      <c r="C750" s="3" t="s">
        <v>793</v>
      </c>
      <c r="D750" s="3">
        <v>1.24</v>
      </c>
      <c r="E750" s="3">
        <v>750</v>
      </c>
      <c r="F750" s="3">
        <v>15</v>
      </c>
      <c r="G750" s="3">
        <v>15</v>
      </c>
      <c r="H750" s="3">
        <v>0</v>
      </c>
      <c r="I750" s="3">
        <v>0</v>
      </c>
      <c r="J750" s="3">
        <v>0</v>
      </c>
      <c r="K750" s="3">
        <v>0</v>
      </c>
      <c r="L750" s="3" t="s">
        <v>63</v>
      </c>
      <c r="M750" s="3" t="s">
        <v>21</v>
      </c>
      <c r="N750" s="2"/>
      <c r="O750" s="2"/>
      <c r="P750" s="3" t="str">
        <f>IF(OR(COUNTIF('ثبت لیبل'!$B$11:$B$1010,TRIM(LEFT(C750,FIND("-",C750&amp;"-")-1)))&gt;0,COUNTIF('ثبت لیبل'!$B$11:$B$1010,SUBSTITUTE(TRIM(LEFT(C750,FIND("-",C750&amp;"-")-1)),"GD",""))&gt;0),"موجود","")</f>
        <v/>
      </c>
    </row>
    <row r="751" spans="1:16">
      <c r="A751" s="3">
        <v>750</v>
      </c>
      <c r="B751" s="3" t="s">
        <v>492</v>
      </c>
      <c r="C751" s="3" t="s">
        <v>794</v>
      </c>
      <c r="D751" s="3">
        <v>1.1599999999999999</v>
      </c>
      <c r="E751" s="3">
        <v>750</v>
      </c>
      <c r="F751" s="3">
        <v>14</v>
      </c>
      <c r="G751" s="3">
        <v>14</v>
      </c>
      <c r="H751" s="3">
        <v>0</v>
      </c>
      <c r="I751" s="3">
        <v>0</v>
      </c>
      <c r="J751" s="3">
        <v>0</v>
      </c>
      <c r="K751" s="3">
        <v>0</v>
      </c>
      <c r="L751" s="3" t="s">
        <v>17</v>
      </c>
      <c r="M751" s="3" t="s">
        <v>21</v>
      </c>
      <c r="N751" s="2"/>
      <c r="O751" s="2"/>
      <c r="P751" s="3" t="str">
        <f>IF(OR(COUNTIF('ثبت لیبل'!$B$11:$B$1010,TRIM(LEFT(C751,FIND("-",C751&amp;"-")-1)))&gt;0,COUNTIF('ثبت لیبل'!$B$11:$B$1010,SUBSTITUTE(TRIM(LEFT(C751,FIND("-",C751&amp;"-")-1)),"GD",""))&gt;0),"موجود","")</f>
        <v/>
      </c>
    </row>
    <row r="752" spans="1:16">
      <c r="A752" s="3">
        <v>751</v>
      </c>
      <c r="B752" s="3" t="s">
        <v>492</v>
      </c>
      <c r="C752" s="3" t="s">
        <v>795</v>
      </c>
      <c r="D752" s="3">
        <v>0.35</v>
      </c>
      <c r="E752" s="3">
        <v>750</v>
      </c>
      <c r="F752" s="3">
        <v>15</v>
      </c>
      <c r="G752" s="3">
        <v>15</v>
      </c>
      <c r="H752" s="3">
        <v>0</v>
      </c>
      <c r="I752" s="3">
        <v>0</v>
      </c>
      <c r="J752" s="3">
        <v>0</v>
      </c>
      <c r="K752" s="3">
        <v>0</v>
      </c>
      <c r="L752" s="3" t="s">
        <v>17</v>
      </c>
      <c r="M752" s="3" t="s">
        <v>21</v>
      </c>
      <c r="N752" s="2"/>
      <c r="O752" s="2"/>
      <c r="P752" s="3" t="str">
        <f>IF(OR(COUNTIF('ثبت لیبل'!$B$11:$B$1010,TRIM(LEFT(C752,FIND("-",C752&amp;"-")-1)))&gt;0,COUNTIF('ثبت لیبل'!$B$11:$B$1010,SUBSTITUTE(TRIM(LEFT(C752,FIND("-",C752&amp;"-")-1)),"GD",""))&gt;0),"موجود","")</f>
        <v/>
      </c>
    </row>
    <row r="753" spans="1:16">
      <c r="A753" s="3">
        <v>752</v>
      </c>
      <c r="B753" s="3" t="s">
        <v>492</v>
      </c>
      <c r="C753" s="3" t="s">
        <v>796</v>
      </c>
      <c r="D753" s="3">
        <v>0.9</v>
      </c>
      <c r="E753" s="3">
        <v>750</v>
      </c>
      <c r="F753" s="3">
        <v>15</v>
      </c>
      <c r="G753" s="3">
        <v>15</v>
      </c>
      <c r="H753" s="3">
        <v>0</v>
      </c>
      <c r="I753" s="3">
        <v>0</v>
      </c>
      <c r="J753" s="3">
        <v>0</v>
      </c>
      <c r="K753" s="3">
        <v>0</v>
      </c>
      <c r="L753" s="3" t="s">
        <v>17</v>
      </c>
      <c r="M753" s="3" t="s">
        <v>21</v>
      </c>
      <c r="N753" s="2"/>
      <c r="O753" s="2"/>
      <c r="P753" s="3" t="str">
        <f>IF(OR(COUNTIF('ثبت لیبل'!$B$11:$B$1010,TRIM(LEFT(C753,FIND("-",C753&amp;"-")-1)))&gt;0,COUNTIF('ثبت لیبل'!$B$11:$B$1010,SUBSTITUTE(TRIM(LEFT(C753,FIND("-",C753&amp;"-")-1)),"GD",""))&gt;0),"موجود","")</f>
        <v/>
      </c>
    </row>
    <row r="754" spans="1:16">
      <c r="A754" s="3">
        <v>753</v>
      </c>
      <c r="B754" s="3" t="s">
        <v>492</v>
      </c>
      <c r="C754" s="3" t="s">
        <v>797</v>
      </c>
      <c r="D754" s="3">
        <v>1.03</v>
      </c>
      <c r="E754" s="3">
        <v>750</v>
      </c>
      <c r="F754" s="3">
        <v>13</v>
      </c>
      <c r="G754" s="3">
        <v>13</v>
      </c>
      <c r="H754" s="3">
        <v>0</v>
      </c>
      <c r="I754" s="3">
        <v>0</v>
      </c>
      <c r="J754" s="3">
        <v>0</v>
      </c>
      <c r="K754" s="3">
        <v>0</v>
      </c>
      <c r="L754" s="3" t="s">
        <v>17</v>
      </c>
      <c r="M754" s="3" t="s">
        <v>21</v>
      </c>
      <c r="N754" s="2"/>
      <c r="O754" s="2"/>
      <c r="P754" s="3" t="str">
        <f>IF(OR(COUNTIF('ثبت لیبل'!$B$11:$B$1010,TRIM(LEFT(C754,FIND("-",C754&amp;"-")-1)))&gt;0,COUNTIF('ثبت لیبل'!$B$11:$B$1010,SUBSTITUTE(TRIM(LEFT(C754,FIND("-",C754&amp;"-")-1)),"GD",""))&gt;0),"موجود","")</f>
        <v/>
      </c>
    </row>
    <row r="755" spans="1:16">
      <c r="A755" s="3">
        <v>754</v>
      </c>
      <c r="B755" s="3" t="s">
        <v>492</v>
      </c>
      <c r="C755" s="3" t="s">
        <v>798</v>
      </c>
      <c r="D755" s="3">
        <v>1.9</v>
      </c>
      <c r="E755" s="3">
        <v>750</v>
      </c>
      <c r="F755" s="3">
        <v>15</v>
      </c>
      <c r="G755" s="3">
        <v>15</v>
      </c>
      <c r="H755" s="3">
        <v>0</v>
      </c>
      <c r="I755" s="3">
        <v>0</v>
      </c>
      <c r="J755" s="3">
        <v>0</v>
      </c>
      <c r="K755" s="3">
        <v>0</v>
      </c>
      <c r="L755" s="3" t="s">
        <v>170</v>
      </c>
      <c r="M755" s="3" t="s">
        <v>60</v>
      </c>
      <c r="N755" s="2"/>
      <c r="O755" s="2"/>
      <c r="P755" s="3" t="str">
        <f>IF(OR(COUNTIF('ثبت لیبل'!$B$11:$B$1010,TRIM(LEFT(C755,FIND("-",C755&amp;"-")-1)))&gt;0,COUNTIF('ثبت لیبل'!$B$11:$B$1010,SUBSTITUTE(TRIM(LEFT(C755,FIND("-",C755&amp;"-")-1)),"GD",""))&gt;0),"موجود","")</f>
        <v/>
      </c>
    </row>
    <row r="756" spans="1:16">
      <c r="A756" s="3">
        <v>755</v>
      </c>
      <c r="B756" s="3" t="s">
        <v>492</v>
      </c>
      <c r="C756" s="3" t="s">
        <v>799</v>
      </c>
      <c r="D756" s="3">
        <v>2.2400000000000002</v>
      </c>
      <c r="E756" s="3">
        <v>750</v>
      </c>
      <c r="F756" s="3">
        <v>19</v>
      </c>
      <c r="G756" s="3">
        <v>19</v>
      </c>
      <c r="H756" s="3">
        <v>0</v>
      </c>
      <c r="I756" s="3">
        <v>0</v>
      </c>
      <c r="J756" s="3">
        <v>0</v>
      </c>
      <c r="K756" s="3">
        <v>0</v>
      </c>
      <c r="L756" s="3" t="s">
        <v>17</v>
      </c>
      <c r="M756" s="3" t="s">
        <v>76</v>
      </c>
      <c r="N756" s="2"/>
      <c r="O756" s="2"/>
      <c r="P756" s="3" t="str">
        <f>IF(OR(COUNTIF('ثبت لیبل'!$B$11:$B$1010,TRIM(LEFT(C756,FIND("-",C756&amp;"-")-1)))&gt;0,COUNTIF('ثبت لیبل'!$B$11:$B$1010,SUBSTITUTE(TRIM(LEFT(C756,FIND("-",C756&amp;"-")-1)),"GD",""))&gt;0),"موجود","")</f>
        <v/>
      </c>
    </row>
    <row r="757" spans="1:16">
      <c r="A757" s="3">
        <v>756</v>
      </c>
      <c r="B757" s="3" t="s">
        <v>492</v>
      </c>
      <c r="C757" s="3" t="s">
        <v>800</v>
      </c>
      <c r="D757" s="3">
        <v>5.51</v>
      </c>
      <c r="E757" s="3">
        <v>750</v>
      </c>
      <c r="F757" s="3">
        <v>13</v>
      </c>
      <c r="G757" s="3">
        <v>13</v>
      </c>
      <c r="H757" s="3">
        <v>0</v>
      </c>
      <c r="I757" s="3">
        <v>0</v>
      </c>
      <c r="J757" s="3">
        <v>0</v>
      </c>
      <c r="K757" s="3">
        <v>0</v>
      </c>
      <c r="L757" s="3" t="s">
        <v>17</v>
      </c>
      <c r="M757" s="3" t="s">
        <v>76</v>
      </c>
      <c r="N757" s="2"/>
      <c r="O757" s="2"/>
      <c r="P757" s="3" t="str">
        <f>IF(OR(COUNTIF('ثبت لیبل'!$B$11:$B$1010,TRIM(LEFT(C757,FIND("-",C757&amp;"-")-1)))&gt;0,COUNTIF('ثبت لیبل'!$B$11:$B$1010,SUBSTITUTE(TRIM(LEFT(C757,FIND("-",C757&amp;"-")-1)),"GD",""))&gt;0),"موجود","")</f>
        <v/>
      </c>
    </row>
    <row r="758" spans="1:16">
      <c r="A758" s="3">
        <v>757</v>
      </c>
      <c r="B758" s="3" t="s">
        <v>492</v>
      </c>
      <c r="C758" s="3" t="s">
        <v>801</v>
      </c>
      <c r="D758" s="3">
        <v>1.04</v>
      </c>
      <c r="E758" s="3">
        <v>750</v>
      </c>
      <c r="F758" s="3">
        <v>20</v>
      </c>
      <c r="G758" s="3">
        <v>20</v>
      </c>
      <c r="H758" s="3">
        <v>0</v>
      </c>
      <c r="I758" s="3">
        <v>0</v>
      </c>
      <c r="J758" s="3">
        <v>0</v>
      </c>
      <c r="K758" s="3">
        <v>0</v>
      </c>
      <c r="L758" s="3" t="s">
        <v>17</v>
      </c>
      <c r="M758" s="3" t="s">
        <v>21</v>
      </c>
      <c r="N758" s="2"/>
      <c r="O758" s="2"/>
      <c r="P758" s="3" t="str">
        <f>IF(OR(COUNTIF('ثبت لیبل'!$B$11:$B$1010,TRIM(LEFT(C758,FIND("-",C758&amp;"-")-1)))&gt;0,COUNTIF('ثبت لیبل'!$B$11:$B$1010,SUBSTITUTE(TRIM(LEFT(C758,FIND("-",C758&amp;"-")-1)),"GD",""))&gt;0),"موجود","")</f>
        <v/>
      </c>
    </row>
    <row r="759" spans="1:16">
      <c r="A759" s="3">
        <v>758</v>
      </c>
      <c r="B759" s="3" t="s">
        <v>492</v>
      </c>
      <c r="C759" s="3" t="s">
        <v>802</v>
      </c>
      <c r="D759" s="3">
        <v>1.2</v>
      </c>
      <c r="E759" s="3">
        <v>750</v>
      </c>
      <c r="F759" s="3">
        <v>14</v>
      </c>
      <c r="G759" s="3">
        <v>14</v>
      </c>
      <c r="H759" s="3">
        <v>0</v>
      </c>
      <c r="I759" s="3">
        <v>0</v>
      </c>
      <c r="J759" s="3">
        <v>0</v>
      </c>
      <c r="K759" s="3">
        <v>0</v>
      </c>
      <c r="L759" s="3" t="s">
        <v>17</v>
      </c>
      <c r="M759" s="3" t="s">
        <v>21</v>
      </c>
      <c r="N759" s="2"/>
      <c r="O759" s="2"/>
      <c r="P759" s="3" t="str">
        <f>IF(OR(COUNTIF('ثبت لیبل'!$B$11:$B$1010,TRIM(LEFT(C759,FIND("-",C759&amp;"-")-1)))&gt;0,COUNTIF('ثبت لیبل'!$B$11:$B$1010,SUBSTITUTE(TRIM(LEFT(C759,FIND("-",C759&amp;"-")-1)),"GD",""))&gt;0),"موجود","")</f>
        <v/>
      </c>
    </row>
    <row r="760" spans="1:16">
      <c r="A760" s="3">
        <v>759</v>
      </c>
      <c r="B760" s="3" t="s">
        <v>492</v>
      </c>
      <c r="C760" s="3" t="s">
        <v>803</v>
      </c>
      <c r="D760" s="3">
        <v>1.89</v>
      </c>
      <c r="E760" s="3">
        <v>750</v>
      </c>
      <c r="F760" s="3">
        <v>15</v>
      </c>
      <c r="G760" s="3">
        <v>15</v>
      </c>
      <c r="H760" s="3">
        <v>0</v>
      </c>
      <c r="I760" s="3">
        <v>0</v>
      </c>
      <c r="J760" s="3">
        <v>0</v>
      </c>
      <c r="K760" s="3">
        <v>0</v>
      </c>
      <c r="L760" s="2"/>
      <c r="M760" s="3" t="s">
        <v>60</v>
      </c>
      <c r="N760" s="2"/>
      <c r="O760" s="2"/>
      <c r="P760" s="3" t="str">
        <f>IF(OR(COUNTIF('ثبت لیبل'!$B$11:$B$1010,TRIM(LEFT(C760,FIND("-",C760&amp;"-")-1)))&gt;0,COUNTIF('ثبت لیبل'!$B$11:$B$1010,SUBSTITUTE(TRIM(LEFT(C760,FIND("-",C760&amp;"-")-1)),"GD",""))&gt;0),"موجود","")</f>
        <v/>
      </c>
    </row>
    <row r="761" spans="1:16">
      <c r="A761" s="3">
        <v>760</v>
      </c>
      <c r="B761" s="3" t="s">
        <v>492</v>
      </c>
      <c r="C761" s="3" t="s">
        <v>804</v>
      </c>
      <c r="D761" s="3">
        <v>0.76</v>
      </c>
      <c r="E761" s="3">
        <v>750</v>
      </c>
      <c r="F761" s="3">
        <v>16</v>
      </c>
      <c r="G761" s="3">
        <v>16</v>
      </c>
      <c r="H761" s="3">
        <v>0</v>
      </c>
      <c r="I761" s="3">
        <v>0</v>
      </c>
      <c r="J761" s="3">
        <v>0</v>
      </c>
      <c r="K761" s="3">
        <v>0</v>
      </c>
      <c r="L761" s="3" t="s">
        <v>17</v>
      </c>
      <c r="M761" s="3" t="s">
        <v>21</v>
      </c>
      <c r="N761" s="2"/>
      <c r="O761" s="2"/>
      <c r="P761" s="3" t="str">
        <f>IF(OR(COUNTIF('ثبت لیبل'!$B$11:$B$1010,TRIM(LEFT(C761,FIND("-",C761&amp;"-")-1)))&gt;0,COUNTIF('ثبت لیبل'!$B$11:$B$1010,SUBSTITUTE(TRIM(LEFT(C761,FIND("-",C761&amp;"-")-1)),"GD",""))&gt;0),"موجود","")</f>
        <v/>
      </c>
    </row>
    <row r="762" spans="1:16">
      <c r="A762" s="3">
        <v>761</v>
      </c>
      <c r="B762" s="3" t="s">
        <v>492</v>
      </c>
      <c r="C762" s="3" t="s">
        <v>805</v>
      </c>
      <c r="D762" s="3">
        <v>1.08</v>
      </c>
      <c r="E762" s="3">
        <v>750</v>
      </c>
      <c r="F762" s="3">
        <v>15</v>
      </c>
      <c r="G762" s="3">
        <v>15</v>
      </c>
      <c r="H762" s="3">
        <v>0</v>
      </c>
      <c r="I762" s="3">
        <v>0</v>
      </c>
      <c r="J762" s="3">
        <v>0</v>
      </c>
      <c r="K762" s="3">
        <v>0</v>
      </c>
      <c r="L762" s="2"/>
      <c r="M762" s="3" t="s">
        <v>21</v>
      </c>
      <c r="N762" s="2"/>
      <c r="O762" s="2"/>
      <c r="P762" s="3" t="str">
        <f>IF(OR(COUNTIF('ثبت لیبل'!$B$11:$B$1010,TRIM(LEFT(C762,FIND("-",C762&amp;"-")-1)))&gt;0,COUNTIF('ثبت لیبل'!$B$11:$B$1010,SUBSTITUTE(TRIM(LEFT(C762,FIND("-",C762&amp;"-")-1)),"GD",""))&gt;0),"موجود","")</f>
        <v/>
      </c>
    </row>
    <row r="763" spans="1:16">
      <c r="A763" s="3">
        <v>762</v>
      </c>
      <c r="B763" s="3" t="s">
        <v>492</v>
      </c>
      <c r="C763" s="3" t="s">
        <v>806</v>
      </c>
      <c r="D763" s="3">
        <v>0.93</v>
      </c>
      <c r="E763" s="3">
        <v>750</v>
      </c>
      <c r="F763" s="3">
        <v>15</v>
      </c>
      <c r="G763" s="3">
        <v>15</v>
      </c>
      <c r="H763" s="3">
        <v>0</v>
      </c>
      <c r="I763" s="3">
        <v>0</v>
      </c>
      <c r="J763" s="3">
        <v>0</v>
      </c>
      <c r="K763" s="3">
        <v>0</v>
      </c>
      <c r="L763" s="2"/>
      <c r="M763" s="3" t="s">
        <v>21</v>
      </c>
      <c r="N763" s="2"/>
      <c r="O763" s="2"/>
      <c r="P763" s="3" t="str">
        <f>IF(OR(COUNTIF('ثبت لیبل'!$B$11:$B$1010,TRIM(LEFT(C763,FIND("-",C763&amp;"-")-1)))&gt;0,COUNTIF('ثبت لیبل'!$B$11:$B$1010,SUBSTITUTE(TRIM(LEFT(C763,FIND("-",C763&amp;"-")-1)),"GD",""))&gt;0),"موجود","")</f>
        <v/>
      </c>
    </row>
    <row r="764" spans="1:16">
      <c r="A764" s="3">
        <v>763</v>
      </c>
      <c r="B764" s="3" t="s">
        <v>492</v>
      </c>
      <c r="C764" s="3" t="s">
        <v>807</v>
      </c>
      <c r="D764" s="3">
        <v>3.63</v>
      </c>
      <c r="E764" s="3">
        <v>750</v>
      </c>
      <c r="F764" s="3">
        <v>19</v>
      </c>
      <c r="G764" s="3">
        <v>19</v>
      </c>
      <c r="H764" s="3">
        <v>0</v>
      </c>
      <c r="I764" s="3">
        <v>0</v>
      </c>
      <c r="J764" s="3">
        <v>0</v>
      </c>
      <c r="K764" s="3">
        <v>0</v>
      </c>
      <c r="L764" s="3" t="s">
        <v>172</v>
      </c>
      <c r="M764" s="3" t="s">
        <v>21</v>
      </c>
      <c r="N764" s="2"/>
      <c r="O764" s="2"/>
      <c r="P764" s="3" t="str">
        <f>IF(OR(COUNTIF('ثبت لیبل'!$B$11:$B$1010,TRIM(LEFT(C764,FIND("-",C764&amp;"-")-1)))&gt;0,COUNTIF('ثبت لیبل'!$B$11:$B$1010,SUBSTITUTE(TRIM(LEFT(C764,FIND("-",C764&amp;"-")-1)),"GD",""))&gt;0),"موجود","")</f>
        <v/>
      </c>
    </row>
    <row r="765" spans="1:16">
      <c r="A765" s="3">
        <v>764</v>
      </c>
      <c r="B765" s="3" t="s">
        <v>492</v>
      </c>
      <c r="C765" s="3" t="s">
        <v>808</v>
      </c>
      <c r="D765" s="3">
        <v>0.63</v>
      </c>
      <c r="E765" s="3">
        <v>750</v>
      </c>
      <c r="F765" s="3">
        <v>13</v>
      </c>
      <c r="G765" s="3">
        <v>13</v>
      </c>
      <c r="H765" s="3">
        <v>0</v>
      </c>
      <c r="I765" s="3">
        <v>0</v>
      </c>
      <c r="J765" s="3">
        <v>0</v>
      </c>
      <c r="K765" s="3">
        <v>0</v>
      </c>
      <c r="L765" s="3" t="s">
        <v>17</v>
      </c>
      <c r="M765" s="3" t="s">
        <v>21</v>
      </c>
      <c r="N765" s="2"/>
      <c r="O765" s="2"/>
      <c r="P765" s="3" t="str">
        <f>IF(OR(COUNTIF('ثبت لیبل'!$B$11:$B$1010,TRIM(LEFT(C765,FIND("-",C765&amp;"-")-1)))&gt;0,COUNTIF('ثبت لیبل'!$B$11:$B$1010,SUBSTITUTE(TRIM(LEFT(C765,FIND("-",C765&amp;"-")-1)),"GD",""))&gt;0),"موجود","")</f>
        <v/>
      </c>
    </row>
    <row r="766" spans="1:16">
      <c r="A766" s="3">
        <v>765</v>
      </c>
      <c r="B766" s="3" t="s">
        <v>492</v>
      </c>
      <c r="C766" s="3" t="s">
        <v>809</v>
      </c>
      <c r="D766" s="3">
        <v>2.27</v>
      </c>
      <c r="E766" s="3">
        <v>750</v>
      </c>
      <c r="F766" s="3">
        <v>14</v>
      </c>
      <c r="G766" s="3">
        <v>14</v>
      </c>
      <c r="H766" s="3">
        <v>0</v>
      </c>
      <c r="I766" s="3">
        <v>0</v>
      </c>
      <c r="J766" s="3">
        <v>0</v>
      </c>
      <c r="K766" s="3">
        <v>0</v>
      </c>
      <c r="L766" s="3" t="s">
        <v>17</v>
      </c>
      <c r="M766" s="3" t="s">
        <v>810</v>
      </c>
      <c r="N766" s="2"/>
      <c r="O766" s="2"/>
      <c r="P766" s="3" t="str">
        <f>IF(OR(COUNTIF('ثبت لیبل'!$B$11:$B$1010,TRIM(LEFT(C766,FIND("-",C766&amp;"-")-1)))&gt;0,COUNTIF('ثبت لیبل'!$B$11:$B$1010,SUBSTITUTE(TRIM(LEFT(C766,FIND("-",C766&amp;"-")-1)),"GD",""))&gt;0),"موجود","")</f>
        <v/>
      </c>
    </row>
    <row r="767" spans="1:16">
      <c r="A767" s="3">
        <v>766</v>
      </c>
      <c r="B767" s="3" t="s">
        <v>492</v>
      </c>
      <c r="C767" s="3" t="s">
        <v>811</v>
      </c>
      <c r="D767" s="3">
        <v>2.91</v>
      </c>
      <c r="E767" s="3">
        <v>750</v>
      </c>
      <c r="F767" s="3">
        <v>14</v>
      </c>
      <c r="G767" s="3">
        <v>14</v>
      </c>
      <c r="H767" s="3">
        <v>0</v>
      </c>
      <c r="I767" s="3">
        <v>0</v>
      </c>
      <c r="J767" s="3">
        <v>0</v>
      </c>
      <c r="K767" s="3">
        <v>0</v>
      </c>
      <c r="L767" s="3" t="s">
        <v>17</v>
      </c>
      <c r="M767" s="3" t="s">
        <v>810</v>
      </c>
      <c r="N767" s="2"/>
      <c r="O767" s="2"/>
      <c r="P767" s="3" t="str">
        <f>IF(OR(COUNTIF('ثبت لیبل'!$B$11:$B$1010,TRIM(LEFT(C767,FIND("-",C767&amp;"-")-1)))&gt;0,COUNTIF('ثبت لیبل'!$B$11:$B$1010,SUBSTITUTE(TRIM(LEFT(C767,FIND("-",C767&amp;"-")-1)),"GD",""))&gt;0),"موجود","")</f>
        <v/>
      </c>
    </row>
    <row r="768" spans="1:16">
      <c r="A768" s="3">
        <v>767</v>
      </c>
      <c r="B768" s="3" t="s">
        <v>492</v>
      </c>
      <c r="C768" s="3" t="s">
        <v>812</v>
      </c>
      <c r="D768" s="3">
        <v>2.93</v>
      </c>
      <c r="E768" s="3">
        <v>750</v>
      </c>
      <c r="F768" s="3">
        <v>14</v>
      </c>
      <c r="G768" s="3">
        <v>14</v>
      </c>
      <c r="H768" s="3">
        <v>0</v>
      </c>
      <c r="I768" s="3">
        <v>0</v>
      </c>
      <c r="J768" s="3">
        <v>0</v>
      </c>
      <c r="K768" s="3">
        <v>0</v>
      </c>
      <c r="L768" s="3" t="s">
        <v>17</v>
      </c>
      <c r="M768" s="3" t="s">
        <v>810</v>
      </c>
      <c r="N768" s="2"/>
      <c r="O768" s="2"/>
      <c r="P768" s="3" t="str">
        <f>IF(OR(COUNTIF('ثبت لیبل'!$B$11:$B$1010,TRIM(LEFT(C768,FIND("-",C768&amp;"-")-1)))&gt;0,COUNTIF('ثبت لیبل'!$B$11:$B$1010,SUBSTITUTE(TRIM(LEFT(C768,FIND("-",C768&amp;"-")-1)),"GD",""))&gt;0),"موجود","")</f>
        <v/>
      </c>
    </row>
    <row r="769" spans="1:16">
      <c r="A769" s="3">
        <v>768</v>
      </c>
      <c r="B769" s="3" t="s">
        <v>492</v>
      </c>
      <c r="C769" s="3" t="s">
        <v>813</v>
      </c>
      <c r="D769" s="3">
        <v>1.25</v>
      </c>
      <c r="E769" s="3">
        <v>750</v>
      </c>
      <c r="F769" s="3">
        <v>15</v>
      </c>
      <c r="G769" s="3">
        <v>15</v>
      </c>
      <c r="H769" s="3">
        <v>0</v>
      </c>
      <c r="I769" s="3">
        <v>0</v>
      </c>
      <c r="J769" s="3">
        <v>0</v>
      </c>
      <c r="K769" s="3">
        <v>0</v>
      </c>
      <c r="L769" s="3" t="s">
        <v>17</v>
      </c>
      <c r="M769" s="3" t="s">
        <v>76</v>
      </c>
      <c r="N769" s="2"/>
      <c r="O769" s="2"/>
      <c r="P769" s="3" t="str">
        <f>IF(OR(COUNTIF('ثبت لیبل'!$B$11:$B$1010,TRIM(LEFT(C769,FIND("-",C769&amp;"-")-1)))&gt;0,COUNTIF('ثبت لیبل'!$B$11:$B$1010,SUBSTITUTE(TRIM(LEFT(C769,FIND("-",C769&amp;"-")-1)),"GD",""))&gt;0),"موجود","")</f>
        <v/>
      </c>
    </row>
    <row r="770" spans="1:16">
      <c r="A770" s="3">
        <v>769</v>
      </c>
      <c r="B770" s="3" t="s">
        <v>492</v>
      </c>
      <c r="C770" s="3" t="s">
        <v>814</v>
      </c>
      <c r="D770" s="3">
        <v>2.5</v>
      </c>
      <c r="E770" s="3">
        <v>750</v>
      </c>
      <c r="F770" s="3">
        <v>19</v>
      </c>
      <c r="G770" s="3">
        <v>19</v>
      </c>
      <c r="H770" s="3">
        <v>0</v>
      </c>
      <c r="I770" s="3">
        <v>0</v>
      </c>
      <c r="J770" s="3">
        <v>0</v>
      </c>
      <c r="K770" s="3">
        <v>0</v>
      </c>
      <c r="L770" s="3" t="s">
        <v>17</v>
      </c>
      <c r="M770" s="3" t="s">
        <v>21</v>
      </c>
      <c r="N770" s="2"/>
      <c r="O770" s="2"/>
      <c r="P770" s="3" t="str">
        <f>IF(OR(COUNTIF('ثبت لیبل'!$B$11:$B$1010,TRIM(LEFT(C770,FIND("-",C770&amp;"-")-1)))&gt;0,COUNTIF('ثبت لیبل'!$B$11:$B$1010,SUBSTITUTE(TRIM(LEFT(C770,FIND("-",C770&amp;"-")-1)),"GD",""))&gt;0),"موجود","")</f>
        <v/>
      </c>
    </row>
    <row r="771" spans="1:16">
      <c r="A771" s="3">
        <v>770</v>
      </c>
      <c r="B771" s="3" t="s">
        <v>492</v>
      </c>
      <c r="C771" s="3" t="s">
        <v>815</v>
      </c>
      <c r="D771" s="3">
        <v>3.91</v>
      </c>
      <c r="E771" s="3">
        <v>750</v>
      </c>
      <c r="F771" s="3">
        <v>19</v>
      </c>
      <c r="G771" s="3">
        <v>19</v>
      </c>
      <c r="H771" s="3">
        <v>0</v>
      </c>
      <c r="I771" s="3">
        <v>0</v>
      </c>
      <c r="J771" s="3">
        <v>0</v>
      </c>
      <c r="K771" s="3">
        <v>0</v>
      </c>
      <c r="L771" s="3" t="s">
        <v>17</v>
      </c>
      <c r="M771" s="3" t="s">
        <v>60</v>
      </c>
      <c r="N771" s="2"/>
      <c r="O771" s="2"/>
      <c r="P771" s="3" t="str">
        <f>IF(OR(COUNTIF('ثبت لیبل'!$B$11:$B$1010,TRIM(LEFT(C771,FIND("-",C771&amp;"-")-1)))&gt;0,COUNTIF('ثبت لیبل'!$B$11:$B$1010,SUBSTITUTE(TRIM(LEFT(C771,FIND("-",C771&amp;"-")-1)),"GD",""))&gt;0),"موجود","")</f>
        <v/>
      </c>
    </row>
    <row r="772" spans="1:16">
      <c r="A772" s="3">
        <v>771</v>
      </c>
      <c r="B772" s="3" t="s">
        <v>492</v>
      </c>
      <c r="C772" s="3" t="s">
        <v>816</v>
      </c>
      <c r="D772" s="3">
        <v>2.04</v>
      </c>
      <c r="E772" s="3">
        <v>750</v>
      </c>
      <c r="F772" s="3">
        <v>15</v>
      </c>
      <c r="G772" s="3">
        <v>15</v>
      </c>
      <c r="H772" s="3">
        <v>0</v>
      </c>
      <c r="I772" s="3">
        <v>0</v>
      </c>
      <c r="J772" s="3">
        <v>0</v>
      </c>
      <c r="K772" s="3">
        <v>0</v>
      </c>
      <c r="L772" s="3" t="s">
        <v>17</v>
      </c>
      <c r="M772" s="3" t="s">
        <v>76</v>
      </c>
      <c r="N772" s="2"/>
      <c r="O772" s="2"/>
      <c r="P772" s="3" t="str">
        <f>IF(OR(COUNTIF('ثبت لیبل'!$B$11:$B$1010,TRIM(LEFT(C772,FIND("-",C772&amp;"-")-1)))&gt;0,COUNTIF('ثبت لیبل'!$B$11:$B$1010,SUBSTITUTE(TRIM(LEFT(C772,FIND("-",C772&amp;"-")-1)),"GD",""))&gt;0),"موجود","")</f>
        <v/>
      </c>
    </row>
    <row r="773" spans="1:16">
      <c r="A773" s="3">
        <v>772</v>
      </c>
      <c r="B773" s="3" t="s">
        <v>492</v>
      </c>
      <c r="C773" s="3" t="s">
        <v>817</v>
      </c>
      <c r="D773" s="3">
        <v>1.05</v>
      </c>
      <c r="E773" s="3">
        <v>750</v>
      </c>
      <c r="F773" s="3">
        <v>12</v>
      </c>
      <c r="G773" s="3">
        <v>12</v>
      </c>
      <c r="H773" s="3">
        <v>0</v>
      </c>
      <c r="I773" s="3">
        <v>0</v>
      </c>
      <c r="J773" s="3">
        <v>0</v>
      </c>
      <c r="K773" s="3">
        <v>0</v>
      </c>
      <c r="L773" s="3" t="s">
        <v>20</v>
      </c>
      <c r="M773" s="3" t="s">
        <v>76</v>
      </c>
      <c r="N773" s="2"/>
      <c r="O773" s="2"/>
      <c r="P773" s="3" t="str">
        <f>IF(OR(COUNTIF('ثبت لیبل'!$B$11:$B$1010,TRIM(LEFT(C773,FIND("-",C773&amp;"-")-1)))&gt;0,COUNTIF('ثبت لیبل'!$B$11:$B$1010,SUBSTITUTE(TRIM(LEFT(C773,FIND("-",C773&amp;"-")-1)),"GD",""))&gt;0),"موجود","")</f>
        <v/>
      </c>
    </row>
    <row r="774" spans="1:16">
      <c r="A774" s="3">
        <v>773</v>
      </c>
      <c r="B774" s="3" t="s">
        <v>492</v>
      </c>
      <c r="C774" s="3" t="s">
        <v>818</v>
      </c>
      <c r="D774" s="3">
        <v>1.19</v>
      </c>
      <c r="E774" s="3">
        <v>750</v>
      </c>
      <c r="F774" s="3">
        <v>12</v>
      </c>
      <c r="G774" s="3">
        <v>12</v>
      </c>
      <c r="H774" s="3">
        <v>0</v>
      </c>
      <c r="I774" s="3">
        <v>0</v>
      </c>
      <c r="J774" s="3">
        <v>0</v>
      </c>
      <c r="K774" s="3">
        <v>0</v>
      </c>
      <c r="L774" s="3" t="s">
        <v>170</v>
      </c>
      <c r="M774" s="3" t="s">
        <v>43</v>
      </c>
      <c r="N774" s="2"/>
      <c r="O774" s="2"/>
      <c r="P774" s="3" t="str">
        <f>IF(OR(COUNTIF('ثبت لیبل'!$B$11:$B$1010,TRIM(LEFT(C774,FIND("-",C774&amp;"-")-1)))&gt;0,COUNTIF('ثبت لیبل'!$B$11:$B$1010,SUBSTITUTE(TRIM(LEFT(C774,FIND("-",C774&amp;"-")-1)),"GD",""))&gt;0),"موجود","")</f>
        <v/>
      </c>
    </row>
    <row r="775" spans="1:16">
      <c r="A775" s="3">
        <v>774</v>
      </c>
      <c r="B775" s="3" t="s">
        <v>492</v>
      </c>
      <c r="C775" s="3" t="s">
        <v>819</v>
      </c>
      <c r="D775" s="3">
        <v>1.9</v>
      </c>
      <c r="E775" s="3">
        <v>750</v>
      </c>
      <c r="F775" s="3">
        <v>14</v>
      </c>
      <c r="G775" s="3">
        <v>14</v>
      </c>
      <c r="H775" s="3">
        <v>0</v>
      </c>
      <c r="I775" s="3">
        <v>0</v>
      </c>
      <c r="J775" s="3">
        <v>0</v>
      </c>
      <c r="K775" s="3">
        <v>0</v>
      </c>
      <c r="L775" s="3" t="s">
        <v>17</v>
      </c>
      <c r="M775" s="3" t="s">
        <v>76</v>
      </c>
      <c r="N775" s="2"/>
      <c r="O775" s="2"/>
      <c r="P775" s="3" t="str">
        <f>IF(OR(COUNTIF('ثبت لیبل'!$B$11:$B$1010,TRIM(LEFT(C775,FIND("-",C775&amp;"-")-1)))&gt;0,COUNTIF('ثبت لیبل'!$B$11:$B$1010,SUBSTITUTE(TRIM(LEFT(C775,FIND("-",C775&amp;"-")-1)),"GD",""))&gt;0),"موجود","")</f>
        <v/>
      </c>
    </row>
    <row r="776" spans="1:16">
      <c r="A776" s="3">
        <v>775</v>
      </c>
      <c r="B776" s="3" t="s">
        <v>492</v>
      </c>
      <c r="C776" s="3" t="s">
        <v>820</v>
      </c>
      <c r="D776" s="3">
        <v>20.8</v>
      </c>
      <c r="E776" s="3">
        <v>750</v>
      </c>
      <c r="F776" s="3">
        <v>20</v>
      </c>
      <c r="G776" s="3">
        <v>20</v>
      </c>
      <c r="H776" s="3">
        <v>0</v>
      </c>
      <c r="I776" s="3">
        <v>0</v>
      </c>
      <c r="J776" s="3">
        <v>0</v>
      </c>
      <c r="K776" s="3">
        <v>0</v>
      </c>
      <c r="L776" s="3" t="s">
        <v>172</v>
      </c>
      <c r="M776" s="3" t="s">
        <v>18</v>
      </c>
      <c r="N776" s="2"/>
      <c r="O776" s="2"/>
      <c r="P776" s="3" t="str">
        <f>IF(OR(COUNTIF('ثبت لیبل'!$B$11:$B$1010,TRIM(LEFT(C776,FIND("-",C776&amp;"-")-1)))&gt;0,COUNTIF('ثبت لیبل'!$B$11:$B$1010,SUBSTITUTE(TRIM(LEFT(C776,FIND("-",C776&amp;"-")-1)),"GD",""))&gt;0),"موجود","")</f>
        <v/>
      </c>
    </row>
    <row r="777" spans="1:16">
      <c r="A777" s="3">
        <v>776</v>
      </c>
      <c r="B777" s="3" t="s">
        <v>492</v>
      </c>
      <c r="C777" s="3" t="s">
        <v>821</v>
      </c>
      <c r="D777" s="3">
        <v>2.46</v>
      </c>
      <c r="E777" s="3">
        <v>750</v>
      </c>
      <c r="F777" s="3">
        <v>21</v>
      </c>
      <c r="G777" s="3">
        <v>21</v>
      </c>
      <c r="H777" s="3">
        <v>0</v>
      </c>
      <c r="I777" s="3">
        <v>0</v>
      </c>
      <c r="J777" s="3">
        <v>0</v>
      </c>
      <c r="K777" s="3">
        <v>0</v>
      </c>
      <c r="L777" s="3" t="s">
        <v>17</v>
      </c>
      <c r="M777" s="3" t="s">
        <v>60</v>
      </c>
      <c r="N777" s="2"/>
      <c r="O777" s="2"/>
      <c r="P777" s="3" t="str">
        <f>IF(OR(COUNTIF('ثبت لیبل'!$B$11:$B$1010,TRIM(LEFT(C777,FIND("-",C777&amp;"-")-1)))&gt;0,COUNTIF('ثبت لیبل'!$B$11:$B$1010,SUBSTITUTE(TRIM(LEFT(C777,FIND("-",C777&amp;"-")-1)),"GD",""))&gt;0),"موجود","")</f>
        <v/>
      </c>
    </row>
    <row r="778" spans="1:16">
      <c r="A778" s="3">
        <v>777</v>
      </c>
      <c r="B778" s="3" t="s">
        <v>492</v>
      </c>
      <c r="C778" s="3" t="s">
        <v>822</v>
      </c>
      <c r="D778" s="3">
        <v>2.09</v>
      </c>
      <c r="E778" s="3">
        <v>750</v>
      </c>
      <c r="F778" s="3">
        <v>15</v>
      </c>
      <c r="G778" s="3">
        <v>15</v>
      </c>
      <c r="H778" s="3">
        <v>0</v>
      </c>
      <c r="I778" s="3">
        <v>0</v>
      </c>
      <c r="J778" s="3">
        <v>0</v>
      </c>
      <c r="K778" s="3">
        <v>0</v>
      </c>
      <c r="L778" s="3" t="s">
        <v>170</v>
      </c>
      <c r="M778" s="3" t="s">
        <v>60</v>
      </c>
      <c r="N778" s="2"/>
      <c r="O778" s="2"/>
      <c r="P778" s="3" t="str">
        <f>IF(OR(COUNTIF('ثبت لیبل'!$B$11:$B$1010,TRIM(LEFT(C778,FIND("-",C778&amp;"-")-1)))&gt;0,COUNTIF('ثبت لیبل'!$B$11:$B$1010,SUBSTITUTE(TRIM(LEFT(C778,FIND("-",C778&amp;"-")-1)),"GD",""))&gt;0),"موجود","")</f>
        <v/>
      </c>
    </row>
    <row r="779" spans="1:16">
      <c r="A779" s="3">
        <v>778</v>
      </c>
      <c r="B779" s="3" t="s">
        <v>492</v>
      </c>
      <c r="C779" s="3" t="s">
        <v>823</v>
      </c>
      <c r="D779" s="3">
        <v>5.05</v>
      </c>
      <c r="E779" s="3">
        <v>750</v>
      </c>
      <c r="F779" s="3">
        <v>19</v>
      </c>
      <c r="G779" s="3">
        <v>19</v>
      </c>
      <c r="H779" s="3">
        <v>0</v>
      </c>
      <c r="I779" s="3">
        <v>0</v>
      </c>
      <c r="J779" s="3">
        <v>0</v>
      </c>
      <c r="K779" s="3">
        <v>0</v>
      </c>
      <c r="L779" s="3" t="s">
        <v>20</v>
      </c>
      <c r="M779" s="3" t="s">
        <v>60</v>
      </c>
      <c r="N779" s="2"/>
      <c r="O779" s="2"/>
      <c r="P779" s="3" t="str">
        <f>IF(OR(COUNTIF('ثبت لیبل'!$B$11:$B$1010,TRIM(LEFT(C779,FIND("-",C779&amp;"-")-1)))&gt;0,COUNTIF('ثبت لیبل'!$B$11:$B$1010,SUBSTITUTE(TRIM(LEFT(C779,FIND("-",C779&amp;"-")-1)),"GD",""))&gt;0),"موجود","")</f>
        <v/>
      </c>
    </row>
    <row r="780" spans="1:16">
      <c r="A780" s="3">
        <v>779</v>
      </c>
      <c r="B780" s="3" t="s">
        <v>492</v>
      </c>
      <c r="C780" s="3" t="s">
        <v>824</v>
      </c>
      <c r="D780" s="3">
        <v>16.829999999999998</v>
      </c>
      <c r="E780" s="3">
        <v>750</v>
      </c>
      <c r="F780" s="3">
        <v>21</v>
      </c>
      <c r="G780" s="3">
        <v>21</v>
      </c>
      <c r="H780" s="3">
        <v>0</v>
      </c>
      <c r="I780" s="3">
        <v>0</v>
      </c>
      <c r="J780" s="3">
        <v>0</v>
      </c>
      <c r="K780" s="3">
        <v>0</v>
      </c>
      <c r="L780" s="3" t="s">
        <v>63</v>
      </c>
      <c r="M780" s="3" t="s">
        <v>18</v>
      </c>
      <c r="N780" s="2"/>
      <c r="O780" s="2"/>
      <c r="P780" s="3" t="str">
        <f>IF(OR(COUNTIF('ثبت لیبل'!$B$11:$B$1010,TRIM(LEFT(C780,FIND("-",C780&amp;"-")-1)))&gt;0,COUNTIF('ثبت لیبل'!$B$11:$B$1010,SUBSTITUTE(TRIM(LEFT(C780,FIND("-",C780&amp;"-")-1)),"GD",""))&gt;0),"موجود","")</f>
        <v/>
      </c>
    </row>
    <row r="781" spans="1:16">
      <c r="A781" s="3">
        <v>780</v>
      </c>
      <c r="B781" s="3" t="s">
        <v>492</v>
      </c>
      <c r="C781" s="3" t="s">
        <v>825</v>
      </c>
      <c r="D781" s="3">
        <v>8</v>
      </c>
      <c r="E781" s="3">
        <v>750</v>
      </c>
      <c r="F781" s="3">
        <v>21</v>
      </c>
      <c r="G781" s="3">
        <v>21</v>
      </c>
      <c r="H781" s="3">
        <v>0</v>
      </c>
      <c r="I781" s="3">
        <v>0</v>
      </c>
      <c r="J781" s="3">
        <v>0</v>
      </c>
      <c r="K781" s="3">
        <v>0</v>
      </c>
      <c r="L781" s="3" t="s">
        <v>63</v>
      </c>
      <c r="M781" s="3" t="s">
        <v>46</v>
      </c>
      <c r="N781" s="2"/>
      <c r="O781" s="2"/>
      <c r="P781" s="3" t="str">
        <f>IF(OR(COUNTIF('ثبت لیبل'!$B$11:$B$1010,TRIM(LEFT(C781,FIND("-",C781&amp;"-")-1)))&gt;0,COUNTIF('ثبت لیبل'!$B$11:$B$1010,SUBSTITUTE(TRIM(LEFT(C781,FIND("-",C781&amp;"-")-1)),"GD",""))&gt;0),"موجود","")</f>
        <v/>
      </c>
    </row>
    <row r="782" spans="1:16">
      <c r="A782" s="3">
        <v>781</v>
      </c>
      <c r="B782" s="3" t="s">
        <v>492</v>
      </c>
      <c r="C782" s="3" t="s">
        <v>826</v>
      </c>
      <c r="D782" s="3">
        <v>17.73</v>
      </c>
      <c r="E782" s="3">
        <v>750</v>
      </c>
      <c r="F782" s="3">
        <v>11</v>
      </c>
      <c r="G782" s="3">
        <v>11</v>
      </c>
      <c r="H782" s="3">
        <v>0</v>
      </c>
      <c r="I782" s="3">
        <v>0</v>
      </c>
      <c r="J782" s="3">
        <v>0</v>
      </c>
      <c r="K782" s="3">
        <v>0</v>
      </c>
      <c r="L782" s="3" t="s">
        <v>17</v>
      </c>
      <c r="M782" s="3" t="s">
        <v>46</v>
      </c>
      <c r="N782" s="2"/>
      <c r="O782" s="2"/>
      <c r="P782" s="3" t="str">
        <f>IF(OR(COUNTIF('ثبت لیبل'!$B$11:$B$1010,TRIM(LEFT(C782,FIND("-",C782&amp;"-")-1)))&gt;0,COUNTIF('ثبت لیبل'!$B$11:$B$1010,SUBSTITUTE(TRIM(LEFT(C782,FIND("-",C782&amp;"-")-1)),"GD",""))&gt;0),"موجود","")</f>
        <v/>
      </c>
    </row>
    <row r="783" spans="1:16">
      <c r="A783" s="3">
        <v>782</v>
      </c>
      <c r="B783" s="3" t="s">
        <v>492</v>
      </c>
      <c r="C783" s="3" t="s">
        <v>827</v>
      </c>
      <c r="D783" s="3">
        <v>0.8</v>
      </c>
      <c r="E783" s="3">
        <v>750</v>
      </c>
      <c r="F783" s="3">
        <v>16</v>
      </c>
      <c r="G783" s="3">
        <v>16</v>
      </c>
      <c r="H783" s="3">
        <v>0</v>
      </c>
      <c r="I783" s="3">
        <v>0</v>
      </c>
      <c r="J783" s="3">
        <v>0</v>
      </c>
      <c r="K783" s="3">
        <v>0</v>
      </c>
      <c r="L783" s="3" t="s">
        <v>17</v>
      </c>
      <c r="M783" s="3" t="s">
        <v>21</v>
      </c>
      <c r="N783" s="2"/>
      <c r="O783" s="2"/>
      <c r="P783" s="3" t="str">
        <f>IF(OR(COUNTIF('ثبت لیبل'!$B$11:$B$1010,TRIM(LEFT(C783,FIND("-",C783&amp;"-")-1)))&gt;0,COUNTIF('ثبت لیبل'!$B$11:$B$1010,SUBSTITUTE(TRIM(LEFT(C783,FIND("-",C783&amp;"-")-1)),"GD",""))&gt;0),"موجود","")</f>
        <v/>
      </c>
    </row>
    <row r="784" spans="1:16">
      <c r="A784" s="3">
        <v>783</v>
      </c>
      <c r="B784" s="3" t="s">
        <v>492</v>
      </c>
      <c r="C784" s="3" t="s">
        <v>828</v>
      </c>
      <c r="D784" s="3">
        <v>0.3</v>
      </c>
      <c r="E784" s="3">
        <v>750</v>
      </c>
      <c r="F784" s="3">
        <v>15</v>
      </c>
      <c r="G784" s="3">
        <v>15</v>
      </c>
      <c r="H784" s="3">
        <v>0</v>
      </c>
      <c r="I784" s="3">
        <v>0</v>
      </c>
      <c r="J784" s="3">
        <v>0</v>
      </c>
      <c r="K784" s="3">
        <v>0</v>
      </c>
      <c r="L784" s="3" t="s">
        <v>17</v>
      </c>
      <c r="M784" s="3" t="s">
        <v>21</v>
      </c>
      <c r="N784" s="2"/>
      <c r="O784" s="2"/>
      <c r="P784" s="3" t="str">
        <f>IF(OR(COUNTIF('ثبت لیبل'!$B$11:$B$1010,TRIM(LEFT(C784,FIND("-",C784&amp;"-")-1)))&gt;0,COUNTIF('ثبت لیبل'!$B$11:$B$1010,SUBSTITUTE(TRIM(LEFT(C784,FIND("-",C784&amp;"-")-1)),"GD",""))&gt;0),"موجود","")</f>
        <v/>
      </c>
    </row>
    <row r="785" spans="1:16">
      <c r="A785" s="3">
        <v>784</v>
      </c>
      <c r="B785" s="3" t="s">
        <v>492</v>
      </c>
      <c r="C785" s="3" t="s">
        <v>829</v>
      </c>
      <c r="D785" s="3">
        <v>0.67</v>
      </c>
      <c r="E785" s="3">
        <v>750</v>
      </c>
      <c r="F785" s="3">
        <v>16</v>
      </c>
      <c r="G785" s="3">
        <v>16</v>
      </c>
      <c r="H785" s="3">
        <v>0</v>
      </c>
      <c r="I785" s="3">
        <v>0</v>
      </c>
      <c r="J785" s="3">
        <v>0</v>
      </c>
      <c r="K785" s="3">
        <v>0</v>
      </c>
      <c r="L785" s="3" t="s">
        <v>17</v>
      </c>
      <c r="M785" s="3" t="s">
        <v>21</v>
      </c>
      <c r="N785" s="2"/>
      <c r="O785" s="2"/>
      <c r="P785" s="3" t="str">
        <f>IF(OR(COUNTIF('ثبت لیبل'!$B$11:$B$1010,TRIM(LEFT(C785,FIND("-",C785&amp;"-")-1)))&gt;0,COUNTIF('ثبت لیبل'!$B$11:$B$1010,SUBSTITUTE(TRIM(LEFT(C785,FIND("-",C785&amp;"-")-1)),"GD",""))&gt;0),"موجود","")</f>
        <v/>
      </c>
    </row>
    <row r="786" spans="1:16">
      <c r="A786" s="3">
        <v>785</v>
      </c>
      <c r="B786" s="3" t="s">
        <v>492</v>
      </c>
      <c r="C786" s="3" t="s">
        <v>830</v>
      </c>
      <c r="D786" s="3">
        <v>2.2999999999999998</v>
      </c>
      <c r="E786" s="3">
        <v>750</v>
      </c>
      <c r="F786" s="3">
        <v>15</v>
      </c>
      <c r="G786" s="3">
        <v>15</v>
      </c>
      <c r="H786" s="3">
        <v>0</v>
      </c>
      <c r="I786" s="3">
        <v>0</v>
      </c>
      <c r="J786" s="3">
        <v>0</v>
      </c>
      <c r="K786" s="3">
        <v>0</v>
      </c>
      <c r="L786" s="3" t="s">
        <v>17</v>
      </c>
      <c r="M786" s="3" t="s">
        <v>46</v>
      </c>
      <c r="N786" s="2"/>
      <c r="O786" s="2"/>
      <c r="P786" s="3" t="str">
        <f>IF(OR(COUNTIF('ثبت لیبل'!$B$11:$B$1010,TRIM(LEFT(C786,FIND("-",C786&amp;"-")-1)))&gt;0,COUNTIF('ثبت لیبل'!$B$11:$B$1010,SUBSTITUTE(TRIM(LEFT(C786,FIND("-",C786&amp;"-")-1)),"GD",""))&gt;0),"موجود","")</f>
        <v/>
      </c>
    </row>
    <row r="787" spans="1:16">
      <c r="A787" s="3">
        <v>786</v>
      </c>
      <c r="B787" s="3" t="s">
        <v>492</v>
      </c>
      <c r="C787" s="3" t="s">
        <v>831</v>
      </c>
      <c r="D787" s="3">
        <v>0.88</v>
      </c>
      <c r="E787" s="3">
        <v>750</v>
      </c>
      <c r="F787" s="3">
        <v>19</v>
      </c>
      <c r="G787" s="3">
        <v>19</v>
      </c>
      <c r="H787" s="3">
        <v>0</v>
      </c>
      <c r="I787" s="3">
        <v>0</v>
      </c>
      <c r="J787" s="3">
        <v>0</v>
      </c>
      <c r="K787" s="3">
        <v>0</v>
      </c>
      <c r="L787" s="3" t="s">
        <v>17</v>
      </c>
      <c r="M787" s="3" t="s">
        <v>21</v>
      </c>
      <c r="N787" s="2"/>
      <c r="O787" s="2"/>
      <c r="P787" s="3" t="str">
        <f>IF(OR(COUNTIF('ثبت لیبل'!$B$11:$B$1010,TRIM(LEFT(C787,FIND("-",C787&amp;"-")-1)))&gt;0,COUNTIF('ثبت لیبل'!$B$11:$B$1010,SUBSTITUTE(TRIM(LEFT(C787,FIND("-",C787&amp;"-")-1)),"GD",""))&gt;0),"موجود","")</f>
        <v/>
      </c>
    </row>
    <row r="788" spans="1:16">
      <c r="A788" s="3">
        <v>787</v>
      </c>
      <c r="B788" s="3" t="s">
        <v>492</v>
      </c>
      <c r="C788" s="3" t="s">
        <v>832</v>
      </c>
      <c r="D788" s="3">
        <v>1.1599999999999999</v>
      </c>
      <c r="E788" s="3">
        <v>750</v>
      </c>
      <c r="F788" s="3">
        <v>14</v>
      </c>
      <c r="G788" s="3">
        <v>14</v>
      </c>
      <c r="H788" s="3">
        <v>0</v>
      </c>
      <c r="I788" s="3">
        <v>0</v>
      </c>
      <c r="J788" s="3">
        <v>0</v>
      </c>
      <c r="K788" s="3">
        <v>0</v>
      </c>
      <c r="L788" s="3" t="s">
        <v>17</v>
      </c>
      <c r="M788" s="3" t="s">
        <v>21</v>
      </c>
      <c r="N788" s="2"/>
      <c r="O788" s="2"/>
      <c r="P788" s="3" t="str">
        <f>IF(OR(COUNTIF('ثبت لیبل'!$B$11:$B$1010,TRIM(LEFT(C788,FIND("-",C788&amp;"-")-1)))&gt;0,COUNTIF('ثبت لیبل'!$B$11:$B$1010,SUBSTITUTE(TRIM(LEFT(C788,FIND("-",C788&amp;"-")-1)),"GD",""))&gt;0),"موجود","")</f>
        <v/>
      </c>
    </row>
    <row r="789" spans="1:16">
      <c r="A789" s="3">
        <v>788</v>
      </c>
      <c r="B789" s="3" t="s">
        <v>492</v>
      </c>
      <c r="C789" s="3" t="s">
        <v>833</v>
      </c>
      <c r="D789" s="3">
        <v>1</v>
      </c>
      <c r="E789" s="3">
        <v>750</v>
      </c>
      <c r="F789" s="3">
        <v>14</v>
      </c>
      <c r="G789" s="3">
        <v>14</v>
      </c>
      <c r="H789" s="3">
        <v>0</v>
      </c>
      <c r="I789" s="3">
        <v>0</v>
      </c>
      <c r="J789" s="3">
        <v>0</v>
      </c>
      <c r="K789" s="3">
        <v>0</v>
      </c>
      <c r="L789" s="3" t="s">
        <v>17</v>
      </c>
      <c r="M789" s="3" t="s">
        <v>21</v>
      </c>
      <c r="N789" s="2"/>
      <c r="O789" s="2"/>
      <c r="P789" s="3" t="str">
        <f>IF(OR(COUNTIF('ثبت لیبل'!$B$11:$B$1010,TRIM(LEFT(C789,FIND("-",C789&amp;"-")-1)))&gt;0,COUNTIF('ثبت لیبل'!$B$11:$B$1010,SUBSTITUTE(TRIM(LEFT(C789,FIND("-",C789&amp;"-")-1)),"GD",""))&gt;0),"موجود","")</f>
        <v/>
      </c>
    </row>
    <row r="790" spans="1:16">
      <c r="A790" s="3">
        <v>789</v>
      </c>
      <c r="B790" s="3" t="s">
        <v>492</v>
      </c>
      <c r="C790" s="3" t="s">
        <v>834</v>
      </c>
      <c r="D790" s="3">
        <v>1.07</v>
      </c>
      <c r="E790" s="3">
        <v>750</v>
      </c>
      <c r="F790" s="3">
        <v>14</v>
      </c>
      <c r="G790" s="3">
        <v>14</v>
      </c>
      <c r="H790" s="3">
        <v>0</v>
      </c>
      <c r="I790" s="3">
        <v>0</v>
      </c>
      <c r="J790" s="3">
        <v>0</v>
      </c>
      <c r="K790" s="3">
        <v>0</v>
      </c>
      <c r="L790" s="3" t="s">
        <v>17</v>
      </c>
      <c r="M790" s="3" t="s">
        <v>21</v>
      </c>
      <c r="N790" s="2"/>
      <c r="O790" s="2"/>
      <c r="P790" s="3" t="str">
        <f>IF(OR(COUNTIF('ثبت لیبل'!$B$11:$B$1010,TRIM(LEFT(C790,FIND("-",C790&amp;"-")-1)))&gt;0,COUNTIF('ثبت لیبل'!$B$11:$B$1010,SUBSTITUTE(TRIM(LEFT(C790,FIND("-",C790&amp;"-")-1)),"GD",""))&gt;0),"موجود","")</f>
        <v/>
      </c>
    </row>
    <row r="791" spans="1:16">
      <c r="A791" s="3">
        <v>790</v>
      </c>
      <c r="B791" s="3" t="s">
        <v>492</v>
      </c>
      <c r="C791" s="3" t="s">
        <v>835</v>
      </c>
      <c r="D791" s="3">
        <v>0.8</v>
      </c>
      <c r="E791" s="3">
        <v>750</v>
      </c>
      <c r="F791" s="3">
        <v>13</v>
      </c>
      <c r="G791" s="3">
        <v>13</v>
      </c>
      <c r="H791" s="3">
        <v>0</v>
      </c>
      <c r="I791" s="3">
        <v>0</v>
      </c>
      <c r="J791" s="3">
        <v>0</v>
      </c>
      <c r="K791" s="3">
        <v>0</v>
      </c>
      <c r="L791" s="3" t="s">
        <v>17</v>
      </c>
      <c r="M791" s="3" t="s">
        <v>21</v>
      </c>
      <c r="N791" s="2"/>
      <c r="O791" s="2"/>
      <c r="P791" s="3" t="str">
        <f>IF(OR(COUNTIF('ثبت لیبل'!$B$11:$B$1010,TRIM(LEFT(C791,FIND("-",C791&amp;"-")-1)))&gt;0,COUNTIF('ثبت لیبل'!$B$11:$B$1010,SUBSTITUTE(TRIM(LEFT(C791,FIND("-",C791&amp;"-")-1)),"GD",""))&gt;0),"موجود","")</f>
        <v/>
      </c>
    </row>
    <row r="792" spans="1:16">
      <c r="A792" s="3">
        <v>791</v>
      </c>
      <c r="B792" s="3" t="s">
        <v>492</v>
      </c>
      <c r="C792" s="3" t="s">
        <v>836</v>
      </c>
      <c r="D792" s="3">
        <v>3.06</v>
      </c>
      <c r="E792" s="3">
        <v>750</v>
      </c>
      <c r="F792" s="3">
        <v>14</v>
      </c>
      <c r="G792" s="3">
        <v>14</v>
      </c>
      <c r="H792" s="3">
        <v>0</v>
      </c>
      <c r="I792" s="3">
        <v>0</v>
      </c>
      <c r="J792" s="3">
        <v>0</v>
      </c>
      <c r="K792" s="3">
        <v>0</v>
      </c>
      <c r="L792" s="3" t="s">
        <v>17</v>
      </c>
      <c r="M792" s="3" t="s">
        <v>810</v>
      </c>
      <c r="N792" s="2"/>
      <c r="O792" s="2"/>
      <c r="P792" s="3" t="str">
        <f>IF(OR(COUNTIF('ثبت لیبل'!$B$11:$B$1010,TRIM(LEFT(C792,FIND("-",C792&amp;"-")-1)))&gt;0,COUNTIF('ثبت لیبل'!$B$11:$B$1010,SUBSTITUTE(TRIM(LEFT(C792,FIND("-",C792&amp;"-")-1)),"GD",""))&gt;0),"موجود","")</f>
        <v/>
      </c>
    </row>
    <row r="793" spans="1:16">
      <c r="A793" s="3">
        <v>792</v>
      </c>
      <c r="B793" s="3" t="s">
        <v>492</v>
      </c>
      <c r="C793" s="3" t="s">
        <v>837</v>
      </c>
      <c r="D793" s="3">
        <v>2.09</v>
      </c>
      <c r="E793" s="3">
        <v>750</v>
      </c>
      <c r="F793" s="3">
        <v>27</v>
      </c>
      <c r="G793" s="3">
        <v>27</v>
      </c>
      <c r="H793" s="3">
        <v>0</v>
      </c>
      <c r="I793" s="3">
        <v>0</v>
      </c>
      <c r="J793" s="3">
        <v>0</v>
      </c>
      <c r="K793" s="3">
        <v>0</v>
      </c>
      <c r="L793" s="3" t="s">
        <v>20</v>
      </c>
      <c r="M793" s="3" t="s">
        <v>21</v>
      </c>
      <c r="N793" s="2"/>
      <c r="O793" s="2"/>
      <c r="P793" s="3" t="str">
        <f>IF(OR(COUNTIF('ثبت لیبل'!$B$11:$B$1010,TRIM(LEFT(C793,FIND("-",C793&amp;"-")-1)))&gt;0,COUNTIF('ثبت لیبل'!$B$11:$B$1010,SUBSTITUTE(TRIM(LEFT(C793,FIND("-",C793&amp;"-")-1)),"GD",""))&gt;0),"موجود","")</f>
        <v/>
      </c>
    </row>
    <row r="794" spans="1:16">
      <c r="A794" s="3">
        <v>793</v>
      </c>
      <c r="B794" s="3" t="s">
        <v>492</v>
      </c>
      <c r="C794" s="3" t="s">
        <v>838</v>
      </c>
      <c r="D794" s="3">
        <v>1.29</v>
      </c>
      <c r="E794" s="3">
        <v>750</v>
      </c>
      <c r="F794" s="3">
        <v>18</v>
      </c>
      <c r="G794" s="3">
        <v>18</v>
      </c>
      <c r="H794" s="3">
        <v>0</v>
      </c>
      <c r="I794" s="3">
        <v>0</v>
      </c>
      <c r="J794" s="3">
        <v>0</v>
      </c>
      <c r="K794" s="3">
        <v>0</v>
      </c>
      <c r="L794" s="2"/>
      <c r="M794" s="3" t="s">
        <v>21</v>
      </c>
      <c r="N794" s="2"/>
      <c r="O794" s="2"/>
      <c r="P794" s="3" t="str">
        <f>IF(OR(COUNTIF('ثبت لیبل'!$B$11:$B$1010,TRIM(LEFT(C794,FIND("-",C794&amp;"-")-1)))&gt;0,COUNTIF('ثبت لیبل'!$B$11:$B$1010,SUBSTITUTE(TRIM(LEFT(C794,FIND("-",C794&amp;"-")-1)),"GD",""))&gt;0),"موجود","")</f>
        <v/>
      </c>
    </row>
    <row r="795" spans="1:16">
      <c r="A795" s="3">
        <v>794</v>
      </c>
      <c r="B795" s="3" t="s">
        <v>492</v>
      </c>
      <c r="C795" s="3" t="s">
        <v>839</v>
      </c>
      <c r="D795" s="3">
        <v>1.84</v>
      </c>
      <c r="E795" s="3">
        <v>750</v>
      </c>
      <c r="F795" s="3">
        <v>15</v>
      </c>
      <c r="G795" s="3">
        <v>15</v>
      </c>
      <c r="H795" s="3">
        <v>0</v>
      </c>
      <c r="I795" s="3">
        <v>0</v>
      </c>
      <c r="J795" s="3">
        <v>0</v>
      </c>
      <c r="K795" s="3">
        <v>0</v>
      </c>
      <c r="L795" s="3" t="s">
        <v>170</v>
      </c>
      <c r="M795" s="3" t="s">
        <v>21</v>
      </c>
      <c r="N795" s="2"/>
      <c r="O795" s="2"/>
      <c r="P795" s="3" t="str">
        <f>IF(OR(COUNTIF('ثبت لیبل'!$B$11:$B$1010,TRIM(LEFT(C795,FIND("-",C795&amp;"-")-1)))&gt;0,COUNTIF('ثبت لیبل'!$B$11:$B$1010,SUBSTITUTE(TRIM(LEFT(C795,FIND("-",C795&amp;"-")-1)),"GD",""))&gt;0),"موجود","")</f>
        <v/>
      </c>
    </row>
    <row r="796" spans="1:16">
      <c r="A796" s="3">
        <v>795</v>
      </c>
      <c r="B796" s="3" t="s">
        <v>492</v>
      </c>
      <c r="C796" s="3" t="s">
        <v>840</v>
      </c>
      <c r="D796" s="3">
        <v>2.4700000000000002</v>
      </c>
      <c r="E796" s="3">
        <v>750</v>
      </c>
      <c r="F796" s="3">
        <v>15</v>
      </c>
      <c r="G796" s="3">
        <v>15</v>
      </c>
      <c r="H796" s="3">
        <v>0</v>
      </c>
      <c r="I796" s="3">
        <v>0</v>
      </c>
      <c r="J796" s="3">
        <v>0</v>
      </c>
      <c r="K796" s="3">
        <v>0</v>
      </c>
      <c r="L796" s="2"/>
      <c r="M796" s="3" t="s">
        <v>60</v>
      </c>
      <c r="N796" s="2"/>
      <c r="O796" s="2"/>
      <c r="P796" s="3" t="str">
        <f>IF(OR(COUNTIF('ثبت لیبل'!$B$11:$B$1010,TRIM(LEFT(C796,FIND("-",C796&amp;"-")-1)))&gt;0,COUNTIF('ثبت لیبل'!$B$11:$B$1010,SUBSTITUTE(TRIM(LEFT(C796,FIND("-",C796&amp;"-")-1)),"GD",""))&gt;0),"موجود","")</f>
        <v/>
      </c>
    </row>
    <row r="797" spans="1:16">
      <c r="A797" s="3">
        <v>796</v>
      </c>
      <c r="B797" s="3" t="s">
        <v>492</v>
      </c>
      <c r="C797" s="3" t="s">
        <v>841</v>
      </c>
      <c r="D797" s="3">
        <v>0.96</v>
      </c>
      <c r="E797" s="3">
        <v>750</v>
      </c>
      <c r="F797" s="3">
        <v>12</v>
      </c>
      <c r="G797" s="3">
        <v>12</v>
      </c>
      <c r="H797" s="3">
        <v>0</v>
      </c>
      <c r="I797" s="3">
        <v>0</v>
      </c>
      <c r="J797" s="3">
        <v>0</v>
      </c>
      <c r="K797" s="3">
        <v>0</v>
      </c>
      <c r="L797" s="3" t="s">
        <v>17</v>
      </c>
      <c r="M797" s="3" t="s">
        <v>76</v>
      </c>
      <c r="N797" s="2"/>
      <c r="O797" s="2"/>
      <c r="P797" s="3" t="str">
        <f>IF(OR(COUNTIF('ثبت لیبل'!$B$11:$B$1010,TRIM(LEFT(C797,FIND("-",C797&amp;"-")-1)))&gt;0,COUNTIF('ثبت لیبل'!$B$11:$B$1010,SUBSTITUTE(TRIM(LEFT(C797,FIND("-",C797&amp;"-")-1)),"GD",""))&gt;0),"موجود","")</f>
        <v/>
      </c>
    </row>
    <row r="798" spans="1:16">
      <c r="A798" s="3">
        <v>797</v>
      </c>
      <c r="B798" s="3" t="s">
        <v>492</v>
      </c>
      <c r="C798" s="3" t="s">
        <v>842</v>
      </c>
      <c r="D798" s="3">
        <v>1.1499999999999999</v>
      </c>
      <c r="E798" s="3">
        <v>750</v>
      </c>
      <c r="F798" s="3">
        <v>12</v>
      </c>
      <c r="G798" s="3">
        <v>12</v>
      </c>
      <c r="H798" s="3">
        <v>0</v>
      </c>
      <c r="I798" s="3">
        <v>0</v>
      </c>
      <c r="J798" s="3">
        <v>0</v>
      </c>
      <c r="K798" s="3">
        <v>0</v>
      </c>
      <c r="L798" s="3" t="s">
        <v>17</v>
      </c>
      <c r="M798" s="3" t="s">
        <v>76</v>
      </c>
      <c r="N798" s="2"/>
      <c r="O798" s="2"/>
      <c r="P798" s="3" t="str">
        <f>IF(OR(COUNTIF('ثبت لیبل'!$B$11:$B$1010,TRIM(LEFT(C798,FIND("-",C798&amp;"-")-1)))&gt;0,COUNTIF('ثبت لیبل'!$B$11:$B$1010,SUBSTITUTE(TRIM(LEFT(C798,FIND("-",C798&amp;"-")-1)),"GD",""))&gt;0),"موجود","")</f>
        <v/>
      </c>
    </row>
    <row r="799" spans="1:16">
      <c r="A799" s="3">
        <v>798</v>
      </c>
      <c r="B799" s="3" t="s">
        <v>492</v>
      </c>
      <c r="C799" s="3" t="s">
        <v>843</v>
      </c>
      <c r="D799" s="3">
        <v>6.56</v>
      </c>
      <c r="E799" s="3">
        <v>750</v>
      </c>
      <c r="F799" s="3">
        <v>12</v>
      </c>
      <c r="G799" s="3">
        <v>12</v>
      </c>
      <c r="H799" s="3">
        <v>0</v>
      </c>
      <c r="I799" s="3">
        <v>0</v>
      </c>
      <c r="J799" s="3">
        <v>0</v>
      </c>
      <c r="K799" s="3">
        <v>0</v>
      </c>
      <c r="L799" s="3" t="s">
        <v>17</v>
      </c>
      <c r="M799" s="3" t="s">
        <v>46</v>
      </c>
      <c r="N799" s="2"/>
      <c r="O799" s="2"/>
      <c r="P799" s="3" t="str">
        <f>IF(OR(COUNTIF('ثبت لیبل'!$B$11:$B$1010,TRIM(LEFT(C799,FIND("-",C799&amp;"-")-1)))&gt;0,COUNTIF('ثبت لیبل'!$B$11:$B$1010,SUBSTITUTE(TRIM(LEFT(C799,FIND("-",C799&amp;"-")-1)),"GD",""))&gt;0),"موجود","")</f>
        <v/>
      </c>
    </row>
    <row r="800" spans="1:16">
      <c r="A800" s="3">
        <v>799</v>
      </c>
      <c r="B800" s="3" t="s">
        <v>492</v>
      </c>
      <c r="C800" s="3" t="s">
        <v>844</v>
      </c>
      <c r="D800" s="3">
        <v>5.76</v>
      </c>
      <c r="E800" s="3">
        <v>750</v>
      </c>
      <c r="F800" s="3">
        <v>17</v>
      </c>
      <c r="G800" s="3">
        <v>17</v>
      </c>
      <c r="H800" s="3">
        <v>0</v>
      </c>
      <c r="I800" s="3">
        <v>0</v>
      </c>
      <c r="J800" s="3">
        <v>0</v>
      </c>
      <c r="K800" s="3">
        <v>0</v>
      </c>
      <c r="L800" s="3" t="s">
        <v>170</v>
      </c>
      <c r="M800" s="3" t="s">
        <v>46</v>
      </c>
      <c r="N800" s="2"/>
      <c r="O800" s="2"/>
      <c r="P800" s="3" t="str">
        <f>IF(OR(COUNTIF('ثبت لیبل'!$B$11:$B$1010,TRIM(LEFT(C800,FIND("-",C800&amp;"-")-1)))&gt;0,COUNTIF('ثبت لیبل'!$B$11:$B$1010,SUBSTITUTE(TRIM(LEFT(C800,FIND("-",C800&amp;"-")-1)),"GD",""))&gt;0),"موجود","")</f>
        <v/>
      </c>
    </row>
    <row r="801" spans="1:16">
      <c r="A801" s="3">
        <v>800</v>
      </c>
      <c r="B801" s="3" t="s">
        <v>492</v>
      </c>
      <c r="C801" s="3" t="s">
        <v>845</v>
      </c>
      <c r="D801" s="3">
        <v>12.75</v>
      </c>
      <c r="E801" s="3">
        <v>750</v>
      </c>
      <c r="F801" s="3">
        <v>15</v>
      </c>
      <c r="G801" s="3">
        <v>15</v>
      </c>
      <c r="H801" s="3">
        <v>0</v>
      </c>
      <c r="I801" s="3">
        <v>0</v>
      </c>
      <c r="J801" s="3">
        <v>0</v>
      </c>
      <c r="K801" s="3">
        <v>0</v>
      </c>
      <c r="L801" s="3" t="s">
        <v>170</v>
      </c>
      <c r="M801" s="3" t="s">
        <v>46</v>
      </c>
      <c r="N801" s="2"/>
      <c r="O801" s="2"/>
      <c r="P801" s="3" t="str">
        <f>IF(OR(COUNTIF('ثبت لیبل'!$B$11:$B$1010,TRIM(LEFT(C801,FIND("-",C801&amp;"-")-1)))&gt;0,COUNTIF('ثبت لیبل'!$B$11:$B$1010,SUBSTITUTE(TRIM(LEFT(C801,FIND("-",C801&amp;"-")-1)),"GD",""))&gt;0),"موجود","")</f>
        <v/>
      </c>
    </row>
    <row r="802" spans="1:16">
      <c r="A802" s="3">
        <v>801</v>
      </c>
      <c r="B802" s="3" t="s">
        <v>492</v>
      </c>
      <c r="C802" s="3" t="s">
        <v>846</v>
      </c>
      <c r="D802" s="3">
        <v>7.52</v>
      </c>
      <c r="E802" s="3">
        <v>750</v>
      </c>
      <c r="F802" s="3">
        <v>17</v>
      </c>
      <c r="G802" s="3">
        <v>17</v>
      </c>
      <c r="H802" s="3">
        <v>0</v>
      </c>
      <c r="I802" s="3">
        <v>0</v>
      </c>
      <c r="J802" s="3">
        <v>0</v>
      </c>
      <c r="K802" s="3">
        <v>0</v>
      </c>
      <c r="L802" s="3" t="s">
        <v>170</v>
      </c>
      <c r="M802" s="3" t="s">
        <v>46</v>
      </c>
      <c r="N802" s="2"/>
      <c r="O802" s="2"/>
      <c r="P802" s="3" t="str">
        <f>IF(OR(COUNTIF('ثبت لیبل'!$B$11:$B$1010,TRIM(LEFT(C802,FIND("-",C802&amp;"-")-1)))&gt;0,COUNTIF('ثبت لیبل'!$B$11:$B$1010,SUBSTITUTE(TRIM(LEFT(C802,FIND("-",C802&amp;"-")-1)),"GD",""))&gt;0),"موجود","")</f>
        <v/>
      </c>
    </row>
    <row r="803" spans="1:16">
      <c r="A803" s="3">
        <v>802</v>
      </c>
      <c r="B803" s="3" t="s">
        <v>492</v>
      </c>
      <c r="C803" s="3" t="s">
        <v>847</v>
      </c>
      <c r="D803" s="3">
        <v>0.17</v>
      </c>
      <c r="E803" s="3">
        <v>750</v>
      </c>
      <c r="F803" s="3">
        <v>19</v>
      </c>
      <c r="G803" s="3">
        <v>19</v>
      </c>
      <c r="H803" s="3">
        <v>0</v>
      </c>
      <c r="I803" s="3">
        <v>0</v>
      </c>
      <c r="J803" s="3">
        <v>0</v>
      </c>
      <c r="K803" s="3">
        <v>0</v>
      </c>
      <c r="L803" s="3" t="s">
        <v>17</v>
      </c>
      <c r="M803" s="3" t="s">
        <v>46</v>
      </c>
      <c r="N803" s="2"/>
      <c r="O803" s="2"/>
      <c r="P803" s="3" t="str">
        <f>IF(OR(COUNTIF('ثبت لیبل'!$B$11:$B$1010,TRIM(LEFT(C803,FIND("-",C803&amp;"-")-1)))&gt;0,COUNTIF('ثبت لیبل'!$B$11:$B$1010,SUBSTITUTE(TRIM(LEFT(C803,FIND("-",C803&amp;"-")-1)),"GD",""))&gt;0),"موجود","")</f>
        <v/>
      </c>
    </row>
    <row r="804" spans="1:16">
      <c r="A804" s="3">
        <v>803</v>
      </c>
      <c r="B804" s="3" t="s">
        <v>492</v>
      </c>
      <c r="C804" s="3" t="s">
        <v>848</v>
      </c>
      <c r="D804" s="3">
        <v>1.2</v>
      </c>
      <c r="E804" s="3">
        <v>750</v>
      </c>
      <c r="F804" s="3">
        <v>12</v>
      </c>
      <c r="G804" s="3">
        <v>12</v>
      </c>
      <c r="H804" s="3">
        <v>0</v>
      </c>
      <c r="I804" s="3">
        <v>0</v>
      </c>
      <c r="J804" s="3">
        <v>0</v>
      </c>
      <c r="K804" s="3">
        <v>0</v>
      </c>
      <c r="L804" s="3" t="s">
        <v>170</v>
      </c>
      <c r="M804" s="3" t="s">
        <v>43</v>
      </c>
      <c r="N804" s="2"/>
      <c r="O804" s="2"/>
      <c r="P804" s="3" t="str">
        <f>IF(OR(COUNTIF('ثبت لیبل'!$B$11:$B$1010,TRIM(LEFT(C804,FIND("-",C804&amp;"-")-1)))&gt;0,COUNTIF('ثبت لیبل'!$B$11:$B$1010,SUBSTITUTE(TRIM(LEFT(C804,FIND("-",C804&amp;"-")-1)),"GD",""))&gt;0),"موجود","")</f>
        <v/>
      </c>
    </row>
    <row r="805" spans="1:16">
      <c r="A805" s="3">
        <v>804</v>
      </c>
      <c r="B805" s="3" t="s">
        <v>492</v>
      </c>
      <c r="C805" s="3" t="s">
        <v>849</v>
      </c>
      <c r="D805" s="3">
        <v>1.2</v>
      </c>
      <c r="E805" s="3">
        <v>750</v>
      </c>
      <c r="F805" s="3">
        <v>12</v>
      </c>
      <c r="G805" s="3">
        <v>12</v>
      </c>
      <c r="H805" s="3">
        <v>0</v>
      </c>
      <c r="I805" s="3">
        <v>0</v>
      </c>
      <c r="J805" s="3">
        <v>0</v>
      </c>
      <c r="K805" s="3">
        <v>0</v>
      </c>
      <c r="L805" s="3" t="s">
        <v>170</v>
      </c>
      <c r="M805" s="3" t="s">
        <v>43</v>
      </c>
      <c r="N805" s="2"/>
      <c r="O805" s="2"/>
      <c r="P805" s="3" t="str">
        <f>IF(OR(COUNTIF('ثبت لیبل'!$B$11:$B$1010,TRIM(LEFT(C805,FIND("-",C805&amp;"-")-1)))&gt;0,COUNTIF('ثبت لیبل'!$B$11:$B$1010,SUBSTITUTE(TRIM(LEFT(C805,FIND("-",C805&amp;"-")-1)),"GD",""))&gt;0),"موجود","")</f>
        <v/>
      </c>
    </row>
    <row r="806" spans="1:16">
      <c r="A806" s="3">
        <v>805</v>
      </c>
      <c r="B806" s="3" t="s">
        <v>492</v>
      </c>
      <c r="C806" s="3" t="s">
        <v>850</v>
      </c>
      <c r="D806" s="3">
        <v>18.329999999999998</v>
      </c>
      <c r="E806" s="3">
        <v>750</v>
      </c>
      <c r="F806" s="3">
        <v>17</v>
      </c>
      <c r="G806" s="3">
        <v>17</v>
      </c>
      <c r="H806" s="3">
        <v>0</v>
      </c>
      <c r="I806" s="3">
        <v>0</v>
      </c>
      <c r="J806" s="3">
        <v>0</v>
      </c>
      <c r="K806" s="3">
        <v>0</v>
      </c>
      <c r="L806" s="3" t="s">
        <v>17</v>
      </c>
      <c r="M806" s="3" t="s">
        <v>46</v>
      </c>
      <c r="N806" s="2"/>
      <c r="O806" s="2"/>
      <c r="P806" s="3" t="str">
        <f>IF(OR(COUNTIF('ثبت لیبل'!$B$11:$B$1010,TRIM(LEFT(C806,FIND("-",C806&amp;"-")-1)))&gt;0,COUNTIF('ثبت لیبل'!$B$11:$B$1010,SUBSTITUTE(TRIM(LEFT(C806,FIND("-",C806&amp;"-")-1)),"GD",""))&gt;0),"موجود","")</f>
        <v/>
      </c>
    </row>
    <row r="807" spans="1:16">
      <c r="A807" s="3">
        <v>806</v>
      </c>
      <c r="B807" s="3" t="s">
        <v>492</v>
      </c>
      <c r="C807" s="3" t="s">
        <v>851</v>
      </c>
      <c r="D807" s="3">
        <v>15.89</v>
      </c>
      <c r="E807" s="3">
        <v>750</v>
      </c>
      <c r="F807" s="3">
        <v>22</v>
      </c>
      <c r="G807" s="3">
        <v>22</v>
      </c>
      <c r="H807" s="3">
        <v>0</v>
      </c>
      <c r="I807" s="3">
        <v>0</v>
      </c>
      <c r="J807" s="3">
        <v>0</v>
      </c>
      <c r="K807" s="3">
        <v>0</v>
      </c>
      <c r="L807" s="3" t="s">
        <v>20</v>
      </c>
      <c r="M807" s="3" t="s">
        <v>114</v>
      </c>
      <c r="N807" s="2"/>
      <c r="O807" s="2"/>
      <c r="P807" s="3" t="str">
        <f>IF(OR(COUNTIF('ثبت لیبل'!$B$11:$B$1010,TRIM(LEFT(C807,FIND("-",C807&amp;"-")-1)))&gt;0,COUNTIF('ثبت لیبل'!$B$11:$B$1010,SUBSTITUTE(TRIM(LEFT(C807,FIND("-",C807&amp;"-")-1)),"GD",""))&gt;0),"موجود","")</f>
        <v/>
      </c>
    </row>
    <row r="808" spans="1:16">
      <c r="A808" s="3">
        <v>807</v>
      </c>
      <c r="B808" s="3" t="s">
        <v>492</v>
      </c>
      <c r="C808" s="3" t="s">
        <v>852</v>
      </c>
      <c r="D808" s="3">
        <v>6.15</v>
      </c>
      <c r="E808" s="3">
        <v>750</v>
      </c>
      <c r="F808" s="3">
        <v>18</v>
      </c>
      <c r="G808" s="3">
        <v>18</v>
      </c>
      <c r="H808" s="3">
        <v>0</v>
      </c>
      <c r="I808" s="3">
        <v>0</v>
      </c>
      <c r="J808" s="3">
        <v>0</v>
      </c>
      <c r="K808" s="3">
        <v>0</v>
      </c>
      <c r="L808" s="3" t="s">
        <v>17</v>
      </c>
      <c r="M808" s="3" t="s">
        <v>114</v>
      </c>
      <c r="N808" s="2"/>
      <c r="O808" s="2"/>
      <c r="P808" s="3" t="str">
        <f>IF(OR(COUNTIF('ثبت لیبل'!$B$11:$B$1010,TRIM(LEFT(C808,FIND("-",C808&amp;"-")-1)))&gt;0,COUNTIF('ثبت لیبل'!$B$11:$B$1010,SUBSTITUTE(TRIM(LEFT(C808,FIND("-",C808&amp;"-")-1)),"GD",""))&gt;0),"موجود","")</f>
        <v/>
      </c>
    </row>
    <row r="809" spans="1:16">
      <c r="A809" s="3">
        <v>808</v>
      </c>
      <c r="B809" s="3" t="s">
        <v>492</v>
      </c>
      <c r="C809" s="3" t="s">
        <v>853</v>
      </c>
      <c r="D809" s="3">
        <v>0.3</v>
      </c>
      <c r="E809" s="3">
        <v>750</v>
      </c>
      <c r="F809" s="3">
        <v>19</v>
      </c>
      <c r="G809" s="3">
        <v>19</v>
      </c>
      <c r="H809" s="3">
        <v>0</v>
      </c>
      <c r="I809" s="3">
        <v>0</v>
      </c>
      <c r="J809" s="3">
        <v>0</v>
      </c>
      <c r="K809" s="3">
        <v>0</v>
      </c>
      <c r="L809" s="3" t="s">
        <v>17</v>
      </c>
      <c r="M809" s="3" t="s">
        <v>43</v>
      </c>
      <c r="N809" s="2"/>
      <c r="O809" s="2"/>
      <c r="P809" s="3" t="str">
        <f>IF(OR(COUNTIF('ثبت لیبل'!$B$11:$B$1010,TRIM(LEFT(C809,FIND("-",C809&amp;"-")-1)))&gt;0,COUNTIF('ثبت لیبل'!$B$11:$B$1010,SUBSTITUTE(TRIM(LEFT(C809,FIND("-",C809&amp;"-")-1)),"GD",""))&gt;0),"موجود","")</f>
        <v/>
      </c>
    </row>
    <row r="810" spans="1:16">
      <c r="A810" s="3">
        <v>809</v>
      </c>
      <c r="B810" s="3" t="s">
        <v>492</v>
      </c>
      <c r="C810" s="3" t="s">
        <v>854</v>
      </c>
      <c r="D810" s="3">
        <v>0.17</v>
      </c>
      <c r="E810" s="3">
        <v>750</v>
      </c>
      <c r="F810" s="3">
        <v>19</v>
      </c>
      <c r="G810" s="3">
        <v>19</v>
      </c>
      <c r="H810" s="3">
        <v>0</v>
      </c>
      <c r="I810" s="3">
        <v>0</v>
      </c>
      <c r="J810" s="3">
        <v>0</v>
      </c>
      <c r="K810" s="3">
        <v>0</v>
      </c>
      <c r="L810" s="3" t="s">
        <v>17</v>
      </c>
      <c r="M810" s="3" t="s">
        <v>46</v>
      </c>
      <c r="N810" s="2"/>
      <c r="O810" s="2"/>
      <c r="P810" s="3" t="str">
        <f>IF(OR(COUNTIF('ثبت لیبل'!$B$11:$B$1010,TRIM(LEFT(C810,FIND("-",C810&amp;"-")-1)))&gt;0,COUNTIF('ثبت لیبل'!$B$11:$B$1010,SUBSTITUTE(TRIM(LEFT(C810,FIND("-",C810&amp;"-")-1)),"GD",""))&gt;0),"موجود","")</f>
        <v/>
      </c>
    </row>
    <row r="811" spans="1:16">
      <c r="A811" s="3">
        <v>810</v>
      </c>
      <c r="B811" s="3" t="s">
        <v>492</v>
      </c>
      <c r="C811" s="3" t="s">
        <v>855</v>
      </c>
      <c r="D811" s="3">
        <v>0.17</v>
      </c>
      <c r="E811" s="3">
        <v>750</v>
      </c>
      <c r="F811" s="3">
        <v>19</v>
      </c>
      <c r="G811" s="3">
        <v>19</v>
      </c>
      <c r="H811" s="3">
        <v>0</v>
      </c>
      <c r="I811" s="3">
        <v>0</v>
      </c>
      <c r="J811" s="3">
        <v>0</v>
      </c>
      <c r="K811" s="3">
        <v>0</v>
      </c>
      <c r="L811" s="3" t="s">
        <v>17</v>
      </c>
      <c r="M811" s="3" t="s">
        <v>46</v>
      </c>
      <c r="N811" s="2"/>
      <c r="O811" s="2"/>
      <c r="P811" s="3" t="str">
        <f>IF(OR(COUNTIF('ثبت لیبل'!$B$11:$B$1010,TRIM(LEFT(C811,FIND("-",C811&amp;"-")-1)))&gt;0,COUNTIF('ثبت لیبل'!$B$11:$B$1010,SUBSTITUTE(TRIM(LEFT(C811,FIND("-",C811&amp;"-")-1)),"GD",""))&gt;0),"موجود","")</f>
        <v/>
      </c>
    </row>
    <row r="812" spans="1:16">
      <c r="A812" s="3">
        <v>811</v>
      </c>
      <c r="B812" s="3" t="s">
        <v>492</v>
      </c>
      <c r="C812" s="3" t="s">
        <v>856</v>
      </c>
      <c r="D812" s="3">
        <v>0.28000000000000003</v>
      </c>
      <c r="E812" s="3">
        <v>750</v>
      </c>
      <c r="F812" s="3">
        <v>19</v>
      </c>
      <c r="G812" s="3">
        <v>19</v>
      </c>
      <c r="H812" s="3">
        <v>0</v>
      </c>
      <c r="I812" s="3">
        <v>0</v>
      </c>
      <c r="J812" s="3">
        <v>0</v>
      </c>
      <c r="K812" s="3">
        <v>0</v>
      </c>
      <c r="L812" s="3" t="s">
        <v>17</v>
      </c>
      <c r="M812" s="3" t="s">
        <v>43</v>
      </c>
      <c r="N812" s="2"/>
      <c r="O812" s="2"/>
      <c r="P812" s="3" t="str">
        <f>IF(OR(COUNTIF('ثبت لیبل'!$B$11:$B$1010,TRIM(LEFT(C812,FIND("-",C812&amp;"-")-1)))&gt;0,COUNTIF('ثبت لیبل'!$B$11:$B$1010,SUBSTITUTE(TRIM(LEFT(C812,FIND("-",C812&amp;"-")-1)),"GD",""))&gt;0),"موجود","")</f>
        <v/>
      </c>
    </row>
    <row r="813" spans="1:16">
      <c r="A813" s="3">
        <v>812</v>
      </c>
      <c r="B813" s="3" t="s">
        <v>492</v>
      </c>
      <c r="C813" s="3" t="s">
        <v>857</v>
      </c>
      <c r="D813" s="3">
        <v>3.93</v>
      </c>
      <c r="E813" s="3">
        <v>750</v>
      </c>
      <c r="F813" s="3">
        <v>20</v>
      </c>
      <c r="G813" s="3">
        <v>20</v>
      </c>
      <c r="H813" s="3">
        <v>0</v>
      </c>
      <c r="I813" s="3">
        <v>0</v>
      </c>
      <c r="J813" s="3">
        <v>0</v>
      </c>
      <c r="K813" s="3">
        <v>0</v>
      </c>
      <c r="L813" s="3" t="s">
        <v>170</v>
      </c>
      <c r="M813" s="3" t="s">
        <v>18</v>
      </c>
      <c r="N813" s="2"/>
      <c r="O813" s="2"/>
      <c r="P813" s="3" t="str">
        <f>IF(OR(COUNTIF('ثبت لیبل'!$B$11:$B$1010,TRIM(LEFT(C813,FIND("-",C813&amp;"-")-1)))&gt;0,COUNTIF('ثبت لیبل'!$B$11:$B$1010,SUBSTITUTE(TRIM(LEFT(C813,FIND("-",C813&amp;"-")-1)),"GD",""))&gt;0),"موجود","")</f>
        <v/>
      </c>
    </row>
    <row r="814" spans="1:16">
      <c r="A814" s="3">
        <v>813</v>
      </c>
      <c r="B814" s="3" t="s">
        <v>492</v>
      </c>
      <c r="C814" s="3" t="s">
        <v>858</v>
      </c>
      <c r="D814" s="3">
        <v>1.48</v>
      </c>
      <c r="E814" s="3">
        <v>750</v>
      </c>
      <c r="F814" s="3">
        <v>14</v>
      </c>
      <c r="G814" s="3">
        <v>14</v>
      </c>
      <c r="H814" s="3">
        <v>0</v>
      </c>
      <c r="I814" s="3">
        <v>0</v>
      </c>
      <c r="J814" s="3">
        <v>0</v>
      </c>
      <c r="K814" s="3">
        <v>0</v>
      </c>
      <c r="L814" s="3" t="s">
        <v>17</v>
      </c>
      <c r="M814" s="3" t="s">
        <v>76</v>
      </c>
      <c r="N814" s="2"/>
      <c r="O814" s="2"/>
      <c r="P814" s="3" t="str">
        <f>IF(OR(COUNTIF('ثبت لیبل'!$B$11:$B$1010,TRIM(LEFT(C814,FIND("-",C814&amp;"-")-1)))&gt;0,COUNTIF('ثبت لیبل'!$B$11:$B$1010,SUBSTITUTE(TRIM(LEFT(C814,FIND("-",C814&amp;"-")-1)),"GD",""))&gt;0),"موجود","")</f>
        <v/>
      </c>
    </row>
    <row r="815" spans="1:16">
      <c r="A815" s="3">
        <v>814</v>
      </c>
      <c r="B815" s="3" t="s">
        <v>492</v>
      </c>
      <c r="C815" s="3" t="s">
        <v>859</v>
      </c>
      <c r="D815" s="3">
        <v>0.18</v>
      </c>
      <c r="E815" s="3">
        <v>750</v>
      </c>
      <c r="F815" s="3">
        <v>19</v>
      </c>
      <c r="G815" s="3">
        <v>19</v>
      </c>
      <c r="H815" s="3">
        <v>0</v>
      </c>
      <c r="I815" s="3">
        <v>0</v>
      </c>
      <c r="J815" s="3">
        <v>0</v>
      </c>
      <c r="K815" s="3">
        <v>0</v>
      </c>
      <c r="L815" s="3" t="s">
        <v>17</v>
      </c>
      <c r="M815" s="3" t="s">
        <v>46</v>
      </c>
      <c r="N815" s="2"/>
      <c r="O815" s="2"/>
      <c r="P815" s="3" t="str">
        <f>IF(OR(COUNTIF('ثبت لیبل'!$B$11:$B$1010,TRIM(LEFT(C815,FIND("-",C815&amp;"-")-1)))&gt;0,COUNTIF('ثبت لیبل'!$B$11:$B$1010,SUBSTITUTE(TRIM(LEFT(C815,FIND("-",C815&amp;"-")-1)),"GD",""))&gt;0),"موجود","")</f>
        <v/>
      </c>
    </row>
    <row r="816" spans="1:16">
      <c r="A816" s="3">
        <v>815</v>
      </c>
      <c r="B816" s="3" t="s">
        <v>492</v>
      </c>
      <c r="C816" s="3" t="s">
        <v>860</v>
      </c>
      <c r="D816" s="3">
        <v>0.17</v>
      </c>
      <c r="E816" s="3">
        <v>750</v>
      </c>
      <c r="F816" s="3">
        <v>19</v>
      </c>
      <c r="G816" s="3">
        <v>19</v>
      </c>
      <c r="H816" s="3">
        <v>0</v>
      </c>
      <c r="I816" s="3">
        <v>0</v>
      </c>
      <c r="J816" s="3">
        <v>0</v>
      </c>
      <c r="K816" s="3">
        <v>0</v>
      </c>
      <c r="L816" s="3" t="s">
        <v>17</v>
      </c>
      <c r="M816" s="3" t="s">
        <v>46</v>
      </c>
      <c r="N816" s="2"/>
      <c r="O816" s="2"/>
      <c r="P816" s="3" t="str">
        <f>IF(OR(COUNTIF('ثبت لیبل'!$B$11:$B$1010,TRIM(LEFT(C816,FIND("-",C816&amp;"-")-1)))&gt;0,COUNTIF('ثبت لیبل'!$B$11:$B$1010,SUBSTITUTE(TRIM(LEFT(C816,FIND("-",C816&amp;"-")-1)),"GD",""))&gt;0),"موجود","")</f>
        <v/>
      </c>
    </row>
    <row r="817" spans="1:16">
      <c r="A817" s="3">
        <v>816</v>
      </c>
      <c r="B817" s="3" t="s">
        <v>492</v>
      </c>
      <c r="C817" s="3" t="s">
        <v>861</v>
      </c>
      <c r="D817" s="3">
        <v>1.1499999999999999</v>
      </c>
      <c r="E817" s="3">
        <v>750</v>
      </c>
      <c r="F817" s="3">
        <v>13</v>
      </c>
      <c r="G817" s="3">
        <v>13</v>
      </c>
      <c r="H817" s="3">
        <v>0</v>
      </c>
      <c r="I817" s="3">
        <v>0</v>
      </c>
      <c r="J817" s="3">
        <v>0</v>
      </c>
      <c r="K817" s="3">
        <v>0</v>
      </c>
      <c r="L817" s="3" t="s">
        <v>17</v>
      </c>
      <c r="M817" s="3" t="s">
        <v>21</v>
      </c>
      <c r="N817" s="2"/>
      <c r="O817" s="2"/>
      <c r="P817" s="3" t="str">
        <f>IF(OR(COUNTIF('ثبت لیبل'!$B$11:$B$1010,TRIM(LEFT(C817,FIND("-",C817&amp;"-")-1)))&gt;0,COUNTIF('ثبت لیبل'!$B$11:$B$1010,SUBSTITUTE(TRIM(LEFT(C817,FIND("-",C817&amp;"-")-1)),"GD",""))&gt;0),"موجود","")</f>
        <v/>
      </c>
    </row>
    <row r="818" spans="1:16">
      <c r="A818" s="3">
        <v>817</v>
      </c>
      <c r="B818" s="3" t="s">
        <v>492</v>
      </c>
      <c r="C818" s="3" t="s">
        <v>862</v>
      </c>
      <c r="D818" s="3">
        <v>0.17</v>
      </c>
      <c r="E818" s="3">
        <v>750</v>
      </c>
      <c r="F818" s="3">
        <v>19</v>
      </c>
      <c r="G818" s="3">
        <v>19</v>
      </c>
      <c r="H818" s="3">
        <v>0</v>
      </c>
      <c r="I818" s="3">
        <v>0</v>
      </c>
      <c r="J818" s="3">
        <v>0</v>
      </c>
      <c r="K818" s="3">
        <v>0</v>
      </c>
      <c r="L818" s="3" t="s">
        <v>17</v>
      </c>
      <c r="M818" s="3" t="s">
        <v>46</v>
      </c>
      <c r="N818" s="2"/>
      <c r="O818" s="2"/>
      <c r="P818" s="3" t="str">
        <f>IF(OR(COUNTIF('ثبت لیبل'!$B$11:$B$1010,TRIM(LEFT(C818,FIND("-",C818&amp;"-")-1)))&gt;0,COUNTIF('ثبت لیبل'!$B$11:$B$1010,SUBSTITUTE(TRIM(LEFT(C818,FIND("-",C818&amp;"-")-1)),"GD",""))&gt;0),"موجود","")</f>
        <v/>
      </c>
    </row>
    <row r="819" spans="1:16">
      <c r="A819" s="3">
        <v>818</v>
      </c>
      <c r="B819" s="3" t="s">
        <v>492</v>
      </c>
      <c r="C819" s="3" t="s">
        <v>863</v>
      </c>
      <c r="D819" s="3">
        <v>0.17</v>
      </c>
      <c r="E819" s="3">
        <v>750</v>
      </c>
      <c r="F819" s="3">
        <v>19</v>
      </c>
      <c r="G819" s="3">
        <v>19</v>
      </c>
      <c r="H819" s="3">
        <v>0</v>
      </c>
      <c r="I819" s="3">
        <v>0</v>
      </c>
      <c r="J819" s="3">
        <v>0</v>
      </c>
      <c r="K819" s="3">
        <v>0</v>
      </c>
      <c r="L819" s="3" t="s">
        <v>17</v>
      </c>
      <c r="M819" s="3" t="s">
        <v>46</v>
      </c>
      <c r="N819" s="2"/>
      <c r="O819" s="2"/>
      <c r="P819" s="3" t="str">
        <f>IF(OR(COUNTIF('ثبت لیبل'!$B$11:$B$1010,TRIM(LEFT(C819,FIND("-",C819&amp;"-")-1)))&gt;0,COUNTIF('ثبت لیبل'!$B$11:$B$1010,SUBSTITUTE(TRIM(LEFT(C819,FIND("-",C819&amp;"-")-1)),"GD",""))&gt;0),"موجود","")</f>
        <v/>
      </c>
    </row>
    <row r="820" spans="1:16">
      <c r="A820" s="3">
        <v>819</v>
      </c>
      <c r="B820" s="3" t="s">
        <v>492</v>
      </c>
      <c r="C820" s="3" t="s">
        <v>864</v>
      </c>
      <c r="D820" s="3">
        <v>0.17</v>
      </c>
      <c r="E820" s="3">
        <v>750</v>
      </c>
      <c r="F820" s="3">
        <v>19</v>
      </c>
      <c r="G820" s="3">
        <v>19</v>
      </c>
      <c r="H820" s="3">
        <v>0</v>
      </c>
      <c r="I820" s="3">
        <v>0</v>
      </c>
      <c r="J820" s="3">
        <v>0</v>
      </c>
      <c r="K820" s="3">
        <v>0</v>
      </c>
      <c r="L820" s="3" t="s">
        <v>17</v>
      </c>
      <c r="M820" s="3" t="s">
        <v>46</v>
      </c>
      <c r="N820" s="2"/>
      <c r="O820" s="2"/>
      <c r="P820" s="3" t="str">
        <f>IF(OR(COUNTIF('ثبت لیبل'!$B$11:$B$1010,TRIM(LEFT(C820,FIND("-",C820&amp;"-")-1)))&gt;0,COUNTIF('ثبت لیبل'!$B$11:$B$1010,SUBSTITUTE(TRIM(LEFT(C820,FIND("-",C820&amp;"-")-1)),"GD",""))&gt;0),"موجود","")</f>
        <v/>
      </c>
    </row>
    <row r="821" spans="1:16">
      <c r="A821" s="3">
        <v>820</v>
      </c>
      <c r="B821" s="3" t="s">
        <v>492</v>
      </c>
      <c r="C821" s="3" t="s">
        <v>865</v>
      </c>
      <c r="D821" s="3">
        <v>0.18</v>
      </c>
      <c r="E821" s="3">
        <v>750</v>
      </c>
      <c r="F821" s="3">
        <v>19</v>
      </c>
      <c r="G821" s="3">
        <v>19</v>
      </c>
      <c r="H821" s="3">
        <v>0</v>
      </c>
      <c r="I821" s="3">
        <v>0</v>
      </c>
      <c r="J821" s="3">
        <v>0</v>
      </c>
      <c r="K821" s="3">
        <v>0</v>
      </c>
      <c r="L821" s="3" t="s">
        <v>17</v>
      </c>
      <c r="M821" s="3" t="s">
        <v>46</v>
      </c>
      <c r="N821" s="2"/>
      <c r="O821" s="2"/>
      <c r="P821" s="3" t="str">
        <f>IF(OR(COUNTIF('ثبت لیبل'!$B$11:$B$1010,TRIM(LEFT(C821,FIND("-",C821&amp;"-")-1)))&gt;0,COUNTIF('ثبت لیبل'!$B$11:$B$1010,SUBSTITUTE(TRIM(LEFT(C821,FIND("-",C821&amp;"-")-1)),"GD",""))&gt;0),"موجود","")</f>
        <v/>
      </c>
    </row>
    <row r="822" spans="1:16">
      <c r="A822" s="3">
        <v>821</v>
      </c>
      <c r="B822" s="3" t="s">
        <v>492</v>
      </c>
      <c r="C822" s="3" t="s">
        <v>866</v>
      </c>
      <c r="D822" s="3">
        <v>3.34</v>
      </c>
      <c r="E822" s="3">
        <v>750</v>
      </c>
      <c r="F822" s="3">
        <v>17</v>
      </c>
      <c r="G822" s="3">
        <v>17</v>
      </c>
      <c r="H822" s="3">
        <v>0</v>
      </c>
      <c r="I822" s="3">
        <v>0</v>
      </c>
      <c r="J822" s="3">
        <v>0</v>
      </c>
      <c r="K822" s="3">
        <v>0</v>
      </c>
      <c r="L822" s="3" t="s">
        <v>20</v>
      </c>
      <c r="M822" s="3" t="s">
        <v>76</v>
      </c>
      <c r="N822" s="2"/>
      <c r="O822" s="2"/>
      <c r="P822" s="3" t="str">
        <f>IF(OR(COUNTIF('ثبت لیبل'!$B$11:$B$1010,TRIM(LEFT(C822,FIND("-",C822&amp;"-")-1)))&gt;0,COUNTIF('ثبت لیبل'!$B$11:$B$1010,SUBSTITUTE(TRIM(LEFT(C822,FIND("-",C822&amp;"-")-1)),"GD",""))&gt;0),"موجود","")</f>
        <v/>
      </c>
    </row>
    <row r="823" spans="1:16">
      <c r="A823" s="3">
        <v>822</v>
      </c>
      <c r="B823" s="3" t="s">
        <v>492</v>
      </c>
      <c r="C823" s="3" t="s">
        <v>867</v>
      </c>
      <c r="D823" s="3">
        <v>0.3</v>
      </c>
      <c r="E823" s="3">
        <v>750</v>
      </c>
      <c r="F823" s="3">
        <v>19</v>
      </c>
      <c r="G823" s="3">
        <v>19</v>
      </c>
      <c r="H823" s="3">
        <v>0</v>
      </c>
      <c r="I823" s="3">
        <v>0</v>
      </c>
      <c r="J823" s="3">
        <v>0</v>
      </c>
      <c r="K823" s="3">
        <v>0</v>
      </c>
      <c r="L823" s="3" t="s">
        <v>17</v>
      </c>
      <c r="M823" s="3" t="s">
        <v>43</v>
      </c>
      <c r="N823" s="2"/>
      <c r="O823" s="2"/>
      <c r="P823" s="3" t="str">
        <f>IF(OR(COUNTIF('ثبت لیبل'!$B$11:$B$1010,TRIM(LEFT(C823,FIND("-",C823&amp;"-")-1)))&gt;0,COUNTIF('ثبت لیبل'!$B$11:$B$1010,SUBSTITUTE(TRIM(LEFT(C823,FIND("-",C823&amp;"-")-1)),"GD",""))&gt;0),"موجود","")</f>
        <v/>
      </c>
    </row>
    <row r="824" spans="1:16">
      <c r="A824" s="3">
        <v>823</v>
      </c>
      <c r="B824" s="3" t="s">
        <v>492</v>
      </c>
      <c r="C824" s="3" t="s">
        <v>868</v>
      </c>
      <c r="D824" s="3">
        <v>0.82</v>
      </c>
      <c r="E824" s="3">
        <v>750</v>
      </c>
      <c r="F824" s="3">
        <v>12</v>
      </c>
      <c r="G824" s="3">
        <v>12</v>
      </c>
      <c r="H824" s="3">
        <v>0</v>
      </c>
      <c r="I824" s="3">
        <v>0</v>
      </c>
      <c r="J824" s="3">
        <v>0</v>
      </c>
      <c r="K824" s="3">
        <v>0</v>
      </c>
      <c r="L824" s="3" t="s">
        <v>17</v>
      </c>
      <c r="M824" s="3" t="s">
        <v>76</v>
      </c>
      <c r="N824" s="2"/>
      <c r="O824" s="2"/>
      <c r="P824" s="3" t="str">
        <f>IF(OR(COUNTIF('ثبت لیبل'!$B$11:$B$1010,TRIM(LEFT(C824,FIND("-",C824&amp;"-")-1)))&gt;0,COUNTIF('ثبت لیبل'!$B$11:$B$1010,SUBSTITUTE(TRIM(LEFT(C824,FIND("-",C824&amp;"-")-1)),"GD",""))&gt;0),"موجود","")</f>
        <v/>
      </c>
    </row>
    <row r="825" spans="1:16">
      <c r="A825" s="3">
        <v>824</v>
      </c>
      <c r="B825" s="3" t="s">
        <v>492</v>
      </c>
      <c r="C825" s="3" t="s">
        <v>869</v>
      </c>
      <c r="D825" s="3">
        <v>0.95</v>
      </c>
      <c r="E825" s="3">
        <v>750</v>
      </c>
      <c r="F825" s="3">
        <v>14</v>
      </c>
      <c r="G825" s="3">
        <v>14</v>
      </c>
      <c r="H825" s="3">
        <v>0</v>
      </c>
      <c r="I825" s="3">
        <v>0</v>
      </c>
      <c r="J825" s="3">
        <v>0</v>
      </c>
      <c r="K825" s="3">
        <v>0</v>
      </c>
      <c r="L825" s="3" t="s">
        <v>17</v>
      </c>
      <c r="M825" s="3" t="s">
        <v>21</v>
      </c>
      <c r="N825" s="2"/>
      <c r="O825" s="2"/>
      <c r="P825" s="3" t="str">
        <f>IF(OR(COUNTIF('ثبت لیبل'!$B$11:$B$1010,TRIM(LEFT(C825,FIND("-",C825&amp;"-")-1)))&gt;0,COUNTIF('ثبت لیبل'!$B$11:$B$1010,SUBSTITUTE(TRIM(LEFT(C825,FIND("-",C825&amp;"-")-1)),"GD",""))&gt;0),"موجود","")</f>
        <v/>
      </c>
    </row>
    <row r="826" spans="1:16">
      <c r="A826" s="3">
        <v>825</v>
      </c>
      <c r="B826" s="3" t="s">
        <v>492</v>
      </c>
      <c r="C826" s="3" t="s">
        <v>870</v>
      </c>
      <c r="D826" s="3">
        <v>0.17</v>
      </c>
      <c r="E826" s="3">
        <v>750</v>
      </c>
      <c r="F826" s="3">
        <v>19</v>
      </c>
      <c r="G826" s="3">
        <v>19</v>
      </c>
      <c r="H826" s="3">
        <v>0</v>
      </c>
      <c r="I826" s="3">
        <v>0</v>
      </c>
      <c r="J826" s="3">
        <v>0</v>
      </c>
      <c r="K826" s="3">
        <v>0</v>
      </c>
      <c r="L826" s="3" t="s">
        <v>17</v>
      </c>
      <c r="M826" s="3" t="s">
        <v>46</v>
      </c>
      <c r="N826" s="2"/>
      <c r="O826" s="2"/>
      <c r="P826" s="3" t="str">
        <f>IF(OR(COUNTIF('ثبت لیبل'!$B$11:$B$1010,TRIM(LEFT(C826,FIND("-",C826&amp;"-")-1)))&gt;0,COUNTIF('ثبت لیبل'!$B$11:$B$1010,SUBSTITUTE(TRIM(LEFT(C826,FIND("-",C826&amp;"-")-1)),"GD",""))&gt;0),"موجود","")</f>
        <v/>
      </c>
    </row>
    <row r="827" spans="1:16">
      <c r="A827" s="3">
        <v>826</v>
      </c>
      <c r="B827" s="3" t="s">
        <v>492</v>
      </c>
      <c r="C827" s="3" t="s">
        <v>871</v>
      </c>
      <c r="D827" s="3">
        <v>15.84</v>
      </c>
      <c r="E827" s="3">
        <v>750</v>
      </c>
      <c r="F827" s="3">
        <v>20</v>
      </c>
      <c r="G827" s="3">
        <v>20</v>
      </c>
      <c r="H827" s="3">
        <v>0</v>
      </c>
      <c r="I827" s="3">
        <v>0</v>
      </c>
      <c r="J827" s="3">
        <v>0</v>
      </c>
      <c r="K827" s="3">
        <v>0</v>
      </c>
      <c r="L827" s="3" t="s">
        <v>17</v>
      </c>
      <c r="M827" s="3" t="s">
        <v>18</v>
      </c>
      <c r="N827" s="2"/>
      <c r="O827" s="2"/>
      <c r="P827" s="3" t="str">
        <f>IF(OR(COUNTIF('ثبت لیبل'!$B$11:$B$1010,TRIM(LEFT(C827,FIND("-",C827&amp;"-")-1)))&gt;0,COUNTIF('ثبت لیبل'!$B$11:$B$1010,SUBSTITUTE(TRIM(LEFT(C827,FIND("-",C827&amp;"-")-1)),"GD",""))&gt;0),"موجود","")</f>
        <v/>
      </c>
    </row>
    <row r="828" spans="1:16">
      <c r="A828" s="3">
        <v>827</v>
      </c>
      <c r="B828" s="3" t="s">
        <v>492</v>
      </c>
      <c r="C828" s="3" t="s">
        <v>872</v>
      </c>
      <c r="D828" s="3">
        <v>21.68</v>
      </c>
      <c r="E828" s="3">
        <v>750</v>
      </c>
      <c r="F828" s="3">
        <v>11</v>
      </c>
      <c r="G828" s="3">
        <v>11</v>
      </c>
      <c r="H828" s="3">
        <v>0</v>
      </c>
      <c r="I828" s="3">
        <v>0</v>
      </c>
      <c r="J828" s="3">
        <v>0</v>
      </c>
      <c r="K828" s="3">
        <v>0</v>
      </c>
      <c r="L828" s="3" t="s">
        <v>17</v>
      </c>
      <c r="M828" s="3" t="s">
        <v>18</v>
      </c>
      <c r="N828" s="2"/>
      <c r="O828" s="2"/>
      <c r="P828" s="3" t="str">
        <f>IF(OR(COUNTIF('ثبت لیبل'!$B$11:$B$1010,TRIM(LEFT(C828,FIND("-",C828&amp;"-")-1)))&gt;0,COUNTIF('ثبت لیبل'!$B$11:$B$1010,SUBSTITUTE(TRIM(LEFT(C828,FIND("-",C828&amp;"-")-1)),"GD",""))&gt;0),"موجود","")</f>
        <v/>
      </c>
    </row>
    <row r="829" spans="1:16">
      <c r="A829" s="3">
        <v>828</v>
      </c>
      <c r="B829" s="3" t="s">
        <v>492</v>
      </c>
      <c r="C829" s="3" t="s">
        <v>873</v>
      </c>
      <c r="D829" s="3">
        <v>0.92</v>
      </c>
      <c r="E829" s="3">
        <v>750</v>
      </c>
      <c r="F829" s="3">
        <v>14</v>
      </c>
      <c r="G829" s="3">
        <v>14</v>
      </c>
      <c r="H829" s="3">
        <v>0</v>
      </c>
      <c r="I829" s="3">
        <v>0</v>
      </c>
      <c r="J829" s="3">
        <v>0</v>
      </c>
      <c r="K829" s="3">
        <v>0</v>
      </c>
      <c r="L829" s="3" t="s">
        <v>17</v>
      </c>
      <c r="M829" s="3" t="s">
        <v>21</v>
      </c>
      <c r="N829" s="2"/>
      <c r="O829" s="2"/>
      <c r="P829" s="3" t="str">
        <f>IF(OR(COUNTIF('ثبت لیبل'!$B$11:$B$1010,TRIM(LEFT(C829,FIND("-",C829&amp;"-")-1)))&gt;0,COUNTIF('ثبت لیبل'!$B$11:$B$1010,SUBSTITUTE(TRIM(LEFT(C829,FIND("-",C829&amp;"-")-1)),"GD",""))&gt;0),"موجود","")</f>
        <v/>
      </c>
    </row>
    <row r="830" spans="1:16">
      <c r="A830" s="3">
        <v>829</v>
      </c>
      <c r="B830" s="3" t="s">
        <v>492</v>
      </c>
      <c r="C830" s="3" t="s">
        <v>874</v>
      </c>
      <c r="D830" s="3">
        <v>0.3</v>
      </c>
      <c r="E830" s="3">
        <v>750</v>
      </c>
      <c r="F830" s="3">
        <v>19</v>
      </c>
      <c r="G830" s="3">
        <v>19</v>
      </c>
      <c r="H830" s="3">
        <v>0</v>
      </c>
      <c r="I830" s="3">
        <v>0</v>
      </c>
      <c r="J830" s="3">
        <v>0</v>
      </c>
      <c r="K830" s="3">
        <v>0</v>
      </c>
      <c r="L830" s="3" t="s">
        <v>17</v>
      </c>
      <c r="M830" s="3" t="s">
        <v>43</v>
      </c>
      <c r="N830" s="2"/>
      <c r="O830" s="2"/>
      <c r="P830" s="3" t="str">
        <f>IF(OR(COUNTIF('ثبت لیبل'!$B$11:$B$1010,TRIM(LEFT(C830,FIND("-",C830&amp;"-")-1)))&gt;0,COUNTIF('ثبت لیبل'!$B$11:$B$1010,SUBSTITUTE(TRIM(LEFT(C830,FIND("-",C830&amp;"-")-1)),"GD",""))&gt;0),"موجود","")</f>
        <v/>
      </c>
    </row>
    <row r="831" spans="1:16">
      <c r="A831" s="3">
        <v>830</v>
      </c>
      <c r="B831" s="3" t="s">
        <v>492</v>
      </c>
      <c r="C831" s="3" t="s">
        <v>875</v>
      </c>
      <c r="D831" s="3">
        <v>2.87</v>
      </c>
      <c r="E831" s="3">
        <v>750</v>
      </c>
      <c r="F831" s="3">
        <v>13</v>
      </c>
      <c r="G831" s="3">
        <v>13</v>
      </c>
      <c r="H831" s="3">
        <v>0</v>
      </c>
      <c r="I831" s="3">
        <v>0</v>
      </c>
      <c r="J831" s="3">
        <v>0</v>
      </c>
      <c r="K831" s="3">
        <v>0</v>
      </c>
      <c r="L831" s="3" t="s">
        <v>17</v>
      </c>
      <c r="M831" s="3" t="s">
        <v>76</v>
      </c>
      <c r="N831" s="2"/>
      <c r="O831" s="2"/>
      <c r="P831" s="3" t="str">
        <f>IF(OR(COUNTIF('ثبت لیبل'!$B$11:$B$1010,TRIM(LEFT(C831,FIND("-",C831&amp;"-")-1)))&gt;0,COUNTIF('ثبت لیبل'!$B$11:$B$1010,SUBSTITUTE(TRIM(LEFT(C831,FIND("-",C831&amp;"-")-1)),"GD",""))&gt;0),"موجود","")</f>
        <v/>
      </c>
    </row>
    <row r="832" spans="1:16">
      <c r="A832" s="3">
        <v>831</v>
      </c>
      <c r="B832" s="3" t="s">
        <v>492</v>
      </c>
      <c r="C832" s="3" t="s">
        <v>876</v>
      </c>
      <c r="D832" s="3">
        <v>2.92</v>
      </c>
      <c r="E832" s="3">
        <v>750</v>
      </c>
      <c r="F832" s="3">
        <v>13</v>
      </c>
      <c r="G832" s="3">
        <v>13</v>
      </c>
      <c r="H832" s="3">
        <v>0</v>
      </c>
      <c r="I832" s="3">
        <v>0</v>
      </c>
      <c r="J832" s="3">
        <v>0</v>
      </c>
      <c r="K832" s="3">
        <v>0</v>
      </c>
      <c r="L832" s="3" t="s">
        <v>17</v>
      </c>
      <c r="M832" s="3" t="s">
        <v>76</v>
      </c>
      <c r="N832" s="2"/>
      <c r="O832" s="2"/>
      <c r="P832" s="3" t="str">
        <f>IF(OR(COUNTIF('ثبت لیبل'!$B$11:$B$1010,TRIM(LEFT(C832,FIND("-",C832&amp;"-")-1)))&gt;0,COUNTIF('ثبت لیبل'!$B$11:$B$1010,SUBSTITUTE(TRIM(LEFT(C832,FIND("-",C832&amp;"-")-1)),"GD",""))&gt;0),"موجود","")</f>
        <v/>
      </c>
    </row>
    <row r="833" spans="1:16">
      <c r="A833" s="3">
        <v>832</v>
      </c>
      <c r="B833" s="3" t="s">
        <v>492</v>
      </c>
      <c r="C833" s="3" t="s">
        <v>877</v>
      </c>
      <c r="D833" s="3">
        <v>4.75</v>
      </c>
      <c r="E833" s="3">
        <v>750</v>
      </c>
      <c r="F833" s="3">
        <v>21</v>
      </c>
      <c r="G833" s="3">
        <v>21</v>
      </c>
      <c r="H833" s="3">
        <v>0</v>
      </c>
      <c r="I833" s="3">
        <v>0</v>
      </c>
      <c r="J833" s="3">
        <v>0</v>
      </c>
      <c r="K833" s="3">
        <v>0</v>
      </c>
      <c r="L833" s="3" t="s">
        <v>63</v>
      </c>
      <c r="M833" s="3" t="s">
        <v>60</v>
      </c>
      <c r="N833" s="2"/>
      <c r="O833" s="2"/>
      <c r="P833" s="3" t="str">
        <f>IF(OR(COUNTIF('ثبت لیبل'!$B$11:$B$1010,TRIM(LEFT(C833,FIND("-",C833&amp;"-")-1)))&gt;0,COUNTIF('ثبت لیبل'!$B$11:$B$1010,SUBSTITUTE(TRIM(LEFT(C833,FIND("-",C833&amp;"-")-1)),"GD",""))&gt;0),"موجود","")</f>
        <v/>
      </c>
    </row>
    <row r="834" spans="1:16">
      <c r="A834" s="3">
        <v>833</v>
      </c>
      <c r="B834" s="3" t="s">
        <v>492</v>
      </c>
      <c r="C834" s="3" t="s">
        <v>878</v>
      </c>
      <c r="D834" s="3">
        <v>2.48</v>
      </c>
      <c r="E834" s="3">
        <v>750</v>
      </c>
      <c r="F834" s="3">
        <v>21</v>
      </c>
      <c r="G834" s="3">
        <v>21</v>
      </c>
      <c r="H834" s="3">
        <v>0</v>
      </c>
      <c r="I834" s="3">
        <v>0</v>
      </c>
      <c r="J834" s="3">
        <v>0</v>
      </c>
      <c r="K834" s="3">
        <v>0</v>
      </c>
      <c r="L834" s="3" t="s">
        <v>17</v>
      </c>
      <c r="M834" s="3" t="s">
        <v>21</v>
      </c>
      <c r="N834" s="2"/>
      <c r="O834" s="2"/>
      <c r="P834" s="3" t="str">
        <f>IF(OR(COUNTIF('ثبت لیبل'!$B$11:$B$1010,TRIM(LEFT(C834,FIND("-",C834&amp;"-")-1)))&gt;0,COUNTIF('ثبت لیبل'!$B$11:$B$1010,SUBSTITUTE(TRIM(LEFT(C834,FIND("-",C834&amp;"-")-1)),"GD",""))&gt;0),"موجود","")</f>
        <v/>
      </c>
    </row>
    <row r="835" spans="1:16">
      <c r="A835" s="3">
        <v>834</v>
      </c>
      <c r="B835" s="3" t="s">
        <v>492</v>
      </c>
      <c r="C835" s="3" t="s">
        <v>879</v>
      </c>
      <c r="D835" s="3">
        <v>8.18</v>
      </c>
      <c r="E835" s="3">
        <v>750</v>
      </c>
      <c r="F835" s="3">
        <v>19</v>
      </c>
      <c r="G835" s="3">
        <v>19</v>
      </c>
      <c r="H835" s="3">
        <v>0</v>
      </c>
      <c r="I835" s="3">
        <v>0</v>
      </c>
      <c r="J835" s="3">
        <v>0</v>
      </c>
      <c r="K835" s="3">
        <v>0</v>
      </c>
      <c r="L835" s="3" t="s">
        <v>17</v>
      </c>
      <c r="M835" s="3" t="s">
        <v>18</v>
      </c>
      <c r="N835" s="2"/>
      <c r="O835" s="2"/>
      <c r="P835" s="3" t="str">
        <f>IF(OR(COUNTIF('ثبت لیبل'!$B$11:$B$1010,TRIM(LEFT(C835,FIND("-",C835&amp;"-")-1)))&gt;0,COUNTIF('ثبت لیبل'!$B$11:$B$1010,SUBSTITUTE(TRIM(LEFT(C835,FIND("-",C835&amp;"-")-1)),"GD",""))&gt;0),"موجود","")</f>
        <v/>
      </c>
    </row>
    <row r="836" spans="1:16">
      <c r="A836" s="3">
        <v>835</v>
      </c>
      <c r="B836" s="3" t="s">
        <v>492</v>
      </c>
      <c r="C836" s="3" t="s">
        <v>880</v>
      </c>
      <c r="D836" s="3">
        <v>6.82</v>
      </c>
      <c r="E836" s="3">
        <v>750</v>
      </c>
      <c r="F836" s="3">
        <v>13</v>
      </c>
      <c r="G836" s="3">
        <v>13</v>
      </c>
      <c r="H836" s="3">
        <v>0</v>
      </c>
      <c r="I836" s="3">
        <v>0</v>
      </c>
      <c r="J836" s="3">
        <v>0</v>
      </c>
      <c r="K836" s="3">
        <v>0</v>
      </c>
      <c r="L836" s="3" t="s">
        <v>63</v>
      </c>
      <c r="M836" s="3" t="s">
        <v>70</v>
      </c>
      <c r="N836" s="2"/>
      <c r="O836" s="2"/>
      <c r="P836" s="3" t="str">
        <f>IF(OR(COUNTIF('ثبت لیبل'!$B$11:$B$1010,TRIM(LEFT(C836,FIND("-",C836&amp;"-")-1)))&gt;0,COUNTIF('ثبت لیبل'!$B$11:$B$1010,SUBSTITUTE(TRIM(LEFT(C836,FIND("-",C836&amp;"-")-1)),"GD",""))&gt;0),"موجود","")</f>
        <v/>
      </c>
    </row>
    <row r="837" spans="1:16">
      <c r="A837" s="3">
        <v>836</v>
      </c>
      <c r="B837" s="3" t="s">
        <v>492</v>
      </c>
      <c r="C837" s="3" t="s">
        <v>881</v>
      </c>
      <c r="D837" s="3">
        <v>14</v>
      </c>
      <c r="E837" s="3">
        <v>750</v>
      </c>
      <c r="F837" s="3">
        <v>13</v>
      </c>
      <c r="G837" s="3">
        <v>13</v>
      </c>
      <c r="H837" s="3">
        <v>0</v>
      </c>
      <c r="I837" s="3">
        <v>0</v>
      </c>
      <c r="J837" s="3">
        <v>0</v>
      </c>
      <c r="K837" s="3">
        <v>0</v>
      </c>
      <c r="L837" s="3" t="s">
        <v>170</v>
      </c>
      <c r="M837" s="3" t="s">
        <v>70</v>
      </c>
      <c r="N837" s="2"/>
      <c r="O837" s="2"/>
      <c r="P837" s="3" t="str">
        <f>IF(OR(COUNTIF('ثبت لیبل'!$B$11:$B$1010,TRIM(LEFT(C837,FIND("-",C837&amp;"-")-1)))&gt;0,COUNTIF('ثبت لیبل'!$B$11:$B$1010,SUBSTITUTE(TRIM(LEFT(C837,FIND("-",C837&amp;"-")-1)),"GD",""))&gt;0),"موجود","")</f>
        <v/>
      </c>
    </row>
    <row r="838" spans="1: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3" t="str">
        <f>IF(OR(COUNTIF('ثبت لیبل'!$B$11:$B$1010,TRIM(LEFT(C838,FIND("-",C838&amp;"-")-1)))&gt;0,COUNTIF('ثبت لیبل'!$B$11:$B$1010,SUBSTITUTE(TRIM(LEFT(C838,FIND("-",C838&amp;"-")-1)),"GD",""))&gt;0),"موجود","")</f>
        <v>موجود</v>
      </c>
    </row>
    <row r="839" spans="1:16" ht="25.5">
      <c r="A839" s="3" t="s">
        <v>882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3" t="str">
        <f>IF(OR(COUNTIF('ثبت لیبل'!$B$11:$B$1010,TRIM(LEFT(C839,FIND("-",C839&amp;"-")-1)))&gt;0,COUNTIF('ثبت لیبل'!$B$11:$B$1010,SUBSTITUTE(TRIM(LEFT(C839,FIND("-",C839&amp;"-")-1)),"GD",""))&gt;0),"موجود","")</f>
        <v>موجود</v>
      </c>
    </row>
  </sheetData>
  <conditionalFormatting sqref="P2:P839">
    <cfRule type="cellIs" dxfId="1" priority="1" operator="equal">
      <formula>"موجود"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ECD7-D2D5-4CC2-8C61-266BEC7BCE71}">
  <dimension ref="A1:F1010"/>
  <sheetViews>
    <sheetView showGridLines="0" rightToLeft="1" workbookViewId="0">
      <pane ySplit="9" topLeftCell="A10" activePane="bottomLeft" state="frozen"/>
      <selection pane="bottomLeft" activeCell="B15" sqref="B15"/>
    </sheetView>
  </sheetViews>
  <sheetFormatPr defaultRowHeight="14.25"/>
  <cols>
    <col min="1" max="1" width="4.125" customWidth="1"/>
    <col min="2" max="3" width="24.125" customWidth="1"/>
    <col min="4" max="4" width="4.125" customWidth="1"/>
    <col min="5" max="6" width="25.875" customWidth="1"/>
  </cols>
  <sheetData>
    <row r="1" spans="1:6" ht="24.95" customHeight="1">
      <c r="A1" s="5" t="s">
        <v>883</v>
      </c>
      <c r="B1" s="5"/>
      <c r="C1" s="5"/>
      <c r="D1" s="5"/>
      <c r="E1" s="5"/>
      <c r="F1" s="5"/>
    </row>
    <row r="2" spans="1:6" ht="24.95" customHeight="1">
      <c r="A2" s="6" t="s">
        <v>884</v>
      </c>
      <c r="B2" s="6"/>
      <c r="C2" s="6"/>
      <c r="D2" s="6"/>
      <c r="E2" s="6"/>
      <c r="F2" s="6"/>
    </row>
    <row r="4" spans="1:6" ht="24" customHeight="1">
      <c r="B4" s="7" t="s">
        <v>885</v>
      </c>
      <c r="C4" s="7" t="s">
        <v>886</v>
      </c>
      <c r="E4" s="16" t="s">
        <v>898</v>
      </c>
      <c r="F4" s="16"/>
    </row>
    <row r="5" spans="1:6" ht="24" customHeight="1">
      <c r="B5" s="8" t="s">
        <v>887</v>
      </c>
      <c r="C5" s="8">
        <f>COUNTA(B11:B1010)</f>
        <v>4</v>
      </c>
      <c r="E5" s="6" t="s">
        <v>899</v>
      </c>
      <c r="F5" s="6"/>
    </row>
    <row r="6" spans="1:6" ht="24" customHeight="1">
      <c r="B6" s="8" t="s">
        <v>888</v>
      </c>
      <c r="C6" s="8">
        <f>COUNTIF(C11:C1010,"موجود")</f>
        <v>2</v>
      </c>
      <c r="E6" s="17" t="s">
        <v>900</v>
      </c>
      <c r="F6" s="17" cm="1">
        <f t="array" ref="F6">IFERROR(_xlfn.AGGREGATE(15,6,ROW(B11:B1010)/(B11:B1010=""),1),"ظرفیت تکمیل")</f>
        <v>15</v>
      </c>
    </row>
    <row r="7" spans="1:6" ht="24" customHeight="1">
      <c r="B7" s="8" t="s">
        <v>889</v>
      </c>
      <c r="C7" s="8">
        <f>COUNTIF(C11:C1010,"مغایرت")</f>
        <v>2</v>
      </c>
      <c r="E7" s="20" t="str" cm="1">
        <f t="array" ref="E7">IFERROR(HYPERLINK("#'ثبت لیبل'!B"&amp;_xlfn.AGGREGATE(15,6,ROW(B11:B1010)/(B11:B1010=""),1),"ورود / جستجوی شماره لیبل"),"ظرفیت جدول تکمیل است")</f>
        <v>ورود / جستجوی شماره لیبل</v>
      </c>
      <c r="F7" s="18"/>
    </row>
    <row r="8" spans="1:6" ht="24" customHeight="1">
      <c r="E8" s="19" t="s">
        <v>901</v>
      </c>
      <c r="F8" s="19"/>
    </row>
    <row r="9" spans="1:6" ht="15">
      <c r="B9" s="9" t="s">
        <v>890</v>
      </c>
      <c r="C9" s="9" t="s">
        <v>891</v>
      </c>
    </row>
    <row r="11" spans="1:6">
      <c r="B11" s="15" t="s">
        <v>897</v>
      </c>
      <c r="C11" t="str">
        <f>IF(B11="","",IF(COUNTIF(موجودی!$C$2:$C$839,"*"&amp;B11&amp;"*")&gt;0,"موجود","مغایرت"))</f>
        <v>موجود</v>
      </c>
    </row>
    <row r="12" spans="1:6">
      <c r="B12" s="10" t="s">
        <v>896</v>
      </c>
      <c r="C12" t="str">
        <f>IF(B12="","",IF(COUNTIF(موجودی!$C$2:$C$839,"*"&amp;B12&amp;"*")&gt;0,"موجود","مغایرت"))</f>
        <v>موجود</v>
      </c>
    </row>
    <row r="13" spans="1:6">
      <c r="B13" s="15" t="s">
        <v>902</v>
      </c>
      <c r="C13" t="str">
        <f>IF(B13="","",IF(COUNTIF(موجودی!$C$2:$C$839,"*"&amp;B13&amp;"*")&gt;0,"موجود","مغایرت"))</f>
        <v>مغایرت</v>
      </c>
    </row>
    <row r="14" spans="1:6">
      <c r="B14" s="15" t="s">
        <v>903</v>
      </c>
      <c r="C14" t="str">
        <f>IF(B14="","",IF(COUNTIF(موجودی!$C$2:$C$839,"*"&amp;B14&amp;"*")&gt;0,"موجود","مغایرت"))</f>
        <v>مغایرت</v>
      </c>
    </row>
    <row r="15" spans="1:6">
      <c r="B15" s="10"/>
      <c r="C15" t="str">
        <f>IF(B15="","",IF(COUNTIF(موجودی!$C$2:$C$839,"*"&amp;B15&amp;"*")&gt;0,"موجود","مغایرت"))</f>
        <v/>
      </c>
    </row>
    <row r="16" spans="1:6">
      <c r="B16" s="10"/>
      <c r="C16" t="str">
        <f>IF(B16="","",IF(COUNTIF(موجودی!$C$2:$C$839,"*"&amp;B16&amp;"*")&gt;0,"موجود","مغایرت"))</f>
        <v/>
      </c>
    </row>
    <row r="17" spans="2:3">
      <c r="B17" s="10"/>
      <c r="C17" t="str">
        <f>IF(B17="","",IF(COUNTIF(موجودی!$C$2:$C$839,"*"&amp;B17&amp;"*")&gt;0,"موجود","مغایرت"))</f>
        <v/>
      </c>
    </row>
    <row r="18" spans="2:3">
      <c r="B18" s="10"/>
      <c r="C18" t="str">
        <f>IF(B18="","",IF(COUNTIF(موجودی!$C$2:$C$839,"*"&amp;B18&amp;"*")&gt;0,"موجود","مغایرت"))</f>
        <v/>
      </c>
    </row>
    <row r="19" spans="2:3">
      <c r="B19" s="10"/>
      <c r="C19" t="str">
        <f>IF(B19="","",IF(COUNTIF(موجودی!$C$2:$C$839,"*"&amp;B19&amp;"*")&gt;0,"موجود","مغایرت"))</f>
        <v/>
      </c>
    </row>
    <row r="20" spans="2:3">
      <c r="B20" s="10"/>
      <c r="C20" t="str">
        <f>IF(B20="","",IF(COUNTIF(موجودی!$C$2:$C$839,"*"&amp;B20&amp;"*")&gt;0,"موجود","مغایرت"))</f>
        <v/>
      </c>
    </row>
    <row r="21" spans="2:3">
      <c r="B21" s="10"/>
      <c r="C21" t="str">
        <f>IF(B21="","",IF(COUNTIF(موجودی!$C$2:$C$839,"*"&amp;B21&amp;"*")&gt;0,"موجود","مغایرت"))</f>
        <v/>
      </c>
    </row>
    <row r="22" spans="2:3">
      <c r="B22" s="10"/>
      <c r="C22" t="str">
        <f>IF(B22="","",IF(COUNTIF(موجودی!$C$2:$C$839,"*"&amp;B22&amp;"*")&gt;0,"موجود","مغایرت"))</f>
        <v/>
      </c>
    </row>
    <row r="23" spans="2:3">
      <c r="B23" s="10"/>
      <c r="C23" t="str">
        <f>IF(B23="","",IF(COUNTIF(موجودی!$C$2:$C$839,"*"&amp;B23&amp;"*")&gt;0,"موجود","مغایرت"))</f>
        <v/>
      </c>
    </row>
    <row r="24" spans="2:3">
      <c r="B24" s="10"/>
      <c r="C24" t="str">
        <f>IF(B24="","",IF(COUNTIF(موجودی!$C$2:$C$839,"*"&amp;B24&amp;"*")&gt;0,"موجود","مغایرت"))</f>
        <v/>
      </c>
    </row>
    <row r="25" spans="2:3">
      <c r="B25" s="10"/>
      <c r="C25" t="str">
        <f>IF(B25="","",IF(COUNTIF(موجودی!$C$2:$C$839,"*"&amp;B25&amp;"*")&gt;0,"موجود","مغایرت"))</f>
        <v/>
      </c>
    </row>
    <row r="26" spans="2:3">
      <c r="B26" s="10"/>
      <c r="C26" t="str">
        <f>IF(B26="","",IF(COUNTIF(موجودی!$C$2:$C$839,"*"&amp;B26&amp;"*")&gt;0,"موجود","مغایرت"))</f>
        <v/>
      </c>
    </row>
    <row r="27" spans="2:3">
      <c r="B27" s="10"/>
      <c r="C27" t="str">
        <f>IF(B27="","",IF(COUNTIF(موجودی!$C$2:$C$839,"*"&amp;B27&amp;"*")&gt;0,"موجود","مغایرت"))</f>
        <v/>
      </c>
    </row>
    <row r="28" spans="2:3">
      <c r="B28" s="10"/>
      <c r="C28" t="str">
        <f>IF(B28="","",IF(COUNTIF(موجودی!$C$2:$C$839,"*"&amp;B28&amp;"*")&gt;0,"موجود","مغایرت"))</f>
        <v/>
      </c>
    </row>
    <row r="29" spans="2:3">
      <c r="B29" s="10"/>
      <c r="C29" t="str">
        <f>IF(B29="","",IF(COUNTIF(موجودی!$C$2:$C$839,"*"&amp;B29&amp;"*")&gt;0,"موجود","مغایرت"))</f>
        <v/>
      </c>
    </row>
    <row r="30" spans="2:3">
      <c r="B30" s="10"/>
      <c r="C30" t="str">
        <f>IF(B30="","",IF(COUNTIF(موجودی!$C$2:$C$839,"*"&amp;B30&amp;"*")&gt;0,"موجود","مغایرت"))</f>
        <v/>
      </c>
    </row>
    <row r="31" spans="2:3">
      <c r="B31" s="10"/>
      <c r="C31" t="str">
        <f>IF(B31="","",IF(COUNTIF(موجودی!$C$2:$C$839,"*"&amp;B31&amp;"*")&gt;0,"موجود","مغایرت"))</f>
        <v/>
      </c>
    </row>
    <row r="32" spans="2:3">
      <c r="B32" s="10"/>
      <c r="C32" t="str">
        <f>IF(B32="","",IF(COUNTIF(موجودی!$C$2:$C$839,"*"&amp;B32&amp;"*")&gt;0,"موجود","مغایرت"))</f>
        <v/>
      </c>
    </row>
    <row r="33" spans="2:3">
      <c r="B33" s="10"/>
      <c r="C33" t="str">
        <f>IF(B33="","",IF(COUNTIF(موجودی!$C$2:$C$839,"*"&amp;B33&amp;"*")&gt;0,"موجود","مغایرت"))</f>
        <v/>
      </c>
    </row>
    <row r="34" spans="2:3">
      <c r="B34" s="10"/>
      <c r="C34" t="str">
        <f>IF(B34="","",IF(COUNTIF(موجودی!$C$2:$C$839,"*"&amp;B34&amp;"*")&gt;0,"موجود","مغایرت"))</f>
        <v/>
      </c>
    </row>
    <row r="35" spans="2:3">
      <c r="B35" s="10"/>
      <c r="C35" t="str">
        <f>IF(B35="","",IF(COUNTIF(موجودی!$C$2:$C$839,"*"&amp;B35&amp;"*")&gt;0,"موجود","مغایرت"))</f>
        <v/>
      </c>
    </row>
    <row r="36" spans="2:3">
      <c r="B36" s="10"/>
      <c r="C36" t="str">
        <f>IF(B36="","",IF(COUNTIF(موجودی!$C$2:$C$839,"*"&amp;B36&amp;"*")&gt;0,"موجود","مغایرت"))</f>
        <v/>
      </c>
    </row>
    <row r="37" spans="2:3">
      <c r="B37" s="10"/>
      <c r="C37" t="str">
        <f>IF(B37="","",IF(COUNTIF(موجودی!$C$2:$C$839,"*"&amp;B37&amp;"*")&gt;0,"موجود","مغایرت"))</f>
        <v/>
      </c>
    </row>
    <row r="38" spans="2:3">
      <c r="B38" s="10"/>
      <c r="C38" t="str">
        <f>IF(B38="","",IF(COUNTIF(موجودی!$C$2:$C$839,"*"&amp;B38&amp;"*")&gt;0,"موجود","مغایرت"))</f>
        <v/>
      </c>
    </row>
    <row r="39" spans="2:3">
      <c r="B39" s="10"/>
      <c r="C39" t="str">
        <f>IF(B39="","",IF(COUNTIF(موجودی!$C$2:$C$839,"*"&amp;B39&amp;"*")&gt;0,"موجود","مغایرت"))</f>
        <v/>
      </c>
    </row>
    <row r="40" spans="2:3">
      <c r="B40" s="10"/>
      <c r="C40" t="str">
        <f>IF(B40="","",IF(COUNTIF(موجودی!$C$2:$C$839,"*"&amp;B40&amp;"*")&gt;0,"موجود","مغایرت"))</f>
        <v/>
      </c>
    </row>
    <row r="41" spans="2:3">
      <c r="B41" s="10"/>
      <c r="C41" t="str">
        <f>IF(B41="","",IF(COUNTIF(موجودی!$C$2:$C$839,"*"&amp;B41&amp;"*")&gt;0,"موجود","مغایرت"))</f>
        <v/>
      </c>
    </row>
    <row r="42" spans="2:3">
      <c r="B42" s="10"/>
      <c r="C42" t="str">
        <f>IF(B42="","",IF(COUNTIF(موجودی!$C$2:$C$839,"*"&amp;B42&amp;"*")&gt;0,"موجود","مغایرت"))</f>
        <v/>
      </c>
    </row>
    <row r="43" spans="2:3">
      <c r="B43" s="10"/>
      <c r="C43" t="str">
        <f>IF(B43="","",IF(COUNTIF(موجودی!$C$2:$C$839,"*"&amp;B43&amp;"*")&gt;0,"موجود","مغایرت"))</f>
        <v/>
      </c>
    </row>
    <row r="44" spans="2:3">
      <c r="B44" s="10"/>
      <c r="C44" t="str">
        <f>IF(B44="","",IF(COUNTIF(موجودی!$C$2:$C$839,"*"&amp;B44&amp;"*")&gt;0,"موجود","مغایرت"))</f>
        <v/>
      </c>
    </row>
    <row r="45" spans="2:3">
      <c r="B45" s="10"/>
      <c r="C45" t="str">
        <f>IF(B45="","",IF(COUNTIF(موجودی!$C$2:$C$839,"*"&amp;B45&amp;"*")&gt;0,"موجود","مغایرت"))</f>
        <v/>
      </c>
    </row>
    <row r="46" spans="2:3">
      <c r="B46" s="10"/>
      <c r="C46" t="str">
        <f>IF(B46="","",IF(COUNTIF(موجودی!$C$2:$C$839,"*"&amp;B46&amp;"*")&gt;0,"موجود","مغایرت"))</f>
        <v/>
      </c>
    </row>
    <row r="47" spans="2:3">
      <c r="B47" s="10"/>
      <c r="C47" t="str">
        <f>IF(B47="","",IF(COUNTIF(موجودی!$C$2:$C$839,"*"&amp;B47&amp;"*")&gt;0,"موجود","مغایرت"))</f>
        <v/>
      </c>
    </row>
    <row r="48" spans="2:3">
      <c r="B48" s="10"/>
      <c r="C48" t="str">
        <f>IF(B48="","",IF(COUNTIF(موجودی!$C$2:$C$839,"*"&amp;B48&amp;"*")&gt;0,"موجود","مغایرت"))</f>
        <v/>
      </c>
    </row>
    <row r="49" spans="2:3">
      <c r="B49" s="10"/>
      <c r="C49" t="str">
        <f>IF(B49="","",IF(COUNTIF(موجودی!$C$2:$C$839,"*"&amp;B49&amp;"*")&gt;0,"موجود","مغایرت"))</f>
        <v/>
      </c>
    </row>
    <row r="50" spans="2:3">
      <c r="B50" s="10"/>
      <c r="C50" t="str">
        <f>IF(B50="","",IF(COUNTIF(موجودی!$C$2:$C$839,"*"&amp;B50&amp;"*")&gt;0,"موجود","مغایرت"))</f>
        <v/>
      </c>
    </row>
    <row r="51" spans="2:3">
      <c r="B51" s="10"/>
      <c r="C51" t="str">
        <f>IF(B51="","",IF(COUNTIF(موجودی!$C$2:$C$839,"*"&amp;B51&amp;"*")&gt;0,"موجود","مغایرت"))</f>
        <v/>
      </c>
    </row>
    <row r="52" spans="2:3">
      <c r="B52" s="10"/>
      <c r="C52" t="str">
        <f>IF(B52="","",IF(COUNTIF(موجودی!$C$2:$C$839,"*"&amp;B52&amp;"*")&gt;0,"موجود","مغایرت"))</f>
        <v/>
      </c>
    </row>
    <row r="53" spans="2:3">
      <c r="B53" s="10"/>
      <c r="C53" t="str">
        <f>IF(B53="","",IF(COUNTIF(موجودی!$C$2:$C$839,"*"&amp;B53&amp;"*")&gt;0,"موجود","مغایرت"))</f>
        <v/>
      </c>
    </row>
    <row r="54" spans="2:3">
      <c r="B54" s="10"/>
      <c r="C54" t="str">
        <f>IF(B54="","",IF(COUNTIF(موجودی!$C$2:$C$839,"*"&amp;B54&amp;"*")&gt;0,"موجود","مغایرت"))</f>
        <v/>
      </c>
    </row>
    <row r="55" spans="2:3">
      <c r="B55" s="10"/>
      <c r="C55" t="str">
        <f>IF(B55="","",IF(COUNTIF(موجودی!$C$2:$C$839,"*"&amp;B55&amp;"*")&gt;0,"موجود","مغایرت"))</f>
        <v/>
      </c>
    </row>
    <row r="56" spans="2:3">
      <c r="B56" s="10"/>
      <c r="C56" t="str">
        <f>IF(B56="","",IF(COUNTIF(موجودی!$C$2:$C$839,"*"&amp;B56&amp;"*")&gt;0,"موجود","مغایرت"))</f>
        <v/>
      </c>
    </row>
    <row r="57" spans="2:3">
      <c r="B57" s="10"/>
      <c r="C57" t="str">
        <f>IF(B57="","",IF(COUNTIF(موجودی!$C$2:$C$839,"*"&amp;B57&amp;"*")&gt;0,"موجود","مغایرت"))</f>
        <v/>
      </c>
    </row>
    <row r="58" spans="2:3">
      <c r="B58" s="10"/>
      <c r="C58" t="str">
        <f>IF(B58="","",IF(COUNTIF(موجودی!$C$2:$C$839,"*"&amp;B58&amp;"*")&gt;0,"موجود","مغایرت"))</f>
        <v/>
      </c>
    </row>
    <row r="59" spans="2:3">
      <c r="B59" s="10"/>
      <c r="C59" t="str">
        <f>IF(B59="","",IF(COUNTIF(موجودی!$C$2:$C$839,"*"&amp;B59&amp;"*")&gt;0,"موجود","مغایرت"))</f>
        <v/>
      </c>
    </row>
    <row r="60" spans="2:3">
      <c r="B60" s="10"/>
      <c r="C60" t="str">
        <f>IF(B60="","",IF(COUNTIF(موجودی!$C$2:$C$839,"*"&amp;B60&amp;"*")&gt;0,"موجود","مغایرت"))</f>
        <v/>
      </c>
    </row>
    <row r="61" spans="2:3">
      <c r="B61" s="10"/>
      <c r="C61" t="str">
        <f>IF(B61="","",IF(COUNTIF(موجودی!$C$2:$C$839,"*"&amp;B61&amp;"*")&gt;0,"موجود","مغایرت"))</f>
        <v/>
      </c>
    </row>
    <row r="62" spans="2:3">
      <c r="B62" s="10"/>
      <c r="C62" t="str">
        <f>IF(B62="","",IF(COUNTIF(موجودی!$C$2:$C$839,"*"&amp;B62&amp;"*")&gt;0,"موجود","مغایرت"))</f>
        <v/>
      </c>
    </row>
    <row r="63" spans="2:3">
      <c r="B63" s="10"/>
      <c r="C63" t="str">
        <f>IF(B63="","",IF(COUNTIF(موجودی!$C$2:$C$839,"*"&amp;B63&amp;"*")&gt;0,"موجود","مغایرت"))</f>
        <v/>
      </c>
    </row>
    <row r="64" spans="2:3">
      <c r="B64" s="10"/>
      <c r="C64" t="str">
        <f>IF(B64="","",IF(COUNTIF(موجودی!$C$2:$C$839,"*"&amp;B64&amp;"*")&gt;0,"موجود","مغایرت"))</f>
        <v/>
      </c>
    </row>
    <row r="65" spans="2:3">
      <c r="B65" s="10"/>
      <c r="C65" t="str">
        <f>IF(B65="","",IF(COUNTIF(موجودی!$C$2:$C$839,"*"&amp;B65&amp;"*")&gt;0,"موجود","مغایرت"))</f>
        <v/>
      </c>
    </row>
    <row r="66" spans="2:3">
      <c r="B66" s="10"/>
      <c r="C66" t="str">
        <f>IF(B66="","",IF(COUNTIF(موجودی!$C$2:$C$839,"*"&amp;B66&amp;"*")&gt;0,"موجود","مغایرت"))</f>
        <v/>
      </c>
    </row>
    <row r="67" spans="2:3">
      <c r="B67" s="10"/>
      <c r="C67" t="str">
        <f>IF(B67="","",IF(COUNTIF(موجودی!$C$2:$C$839,"*"&amp;B67&amp;"*")&gt;0,"موجود","مغایرت"))</f>
        <v/>
      </c>
    </row>
    <row r="68" spans="2:3">
      <c r="B68" s="10"/>
      <c r="C68" t="str">
        <f>IF(B68="","",IF(COUNTIF(موجودی!$C$2:$C$839,"*"&amp;B68&amp;"*")&gt;0,"موجود","مغایرت"))</f>
        <v/>
      </c>
    </row>
    <row r="69" spans="2:3">
      <c r="B69" s="10"/>
      <c r="C69" t="str">
        <f>IF(B69="","",IF(COUNTIF(موجودی!$C$2:$C$839,"*"&amp;B69&amp;"*")&gt;0,"موجود","مغایرت"))</f>
        <v/>
      </c>
    </row>
    <row r="70" spans="2:3">
      <c r="B70" s="10"/>
      <c r="C70" t="str">
        <f>IF(B70="","",IF(COUNTIF(موجودی!$C$2:$C$839,"*"&amp;B70&amp;"*")&gt;0,"موجود","مغایرت"))</f>
        <v/>
      </c>
    </row>
    <row r="71" spans="2:3">
      <c r="B71" s="10"/>
      <c r="C71" t="str">
        <f>IF(B71="","",IF(COUNTIF(موجودی!$C$2:$C$839,"*"&amp;B71&amp;"*")&gt;0,"موجود","مغایرت"))</f>
        <v/>
      </c>
    </row>
    <row r="72" spans="2:3">
      <c r="B72" s="10"/>
      <c r="C72" t="str">
        <f>IF(B72="","",IF(COUNTIF(موجودی!$C$2:$C$839,"*"&amp;B72&amp;"*")&gt;0,"موجود","مغایرت"))</f>
        <v/>
      </c>
    </row>
    <row r="73" spans="2:3">
      <c r="B73" s="10"/>
      <c r="C73" t="str">
        <f>IF(B73="","",IF(COUNTIF(موجودی!$C$2:$C$839,"*"&amp;B73&amp;"*")&gt;0,"موجود","مغایرت"))</f>
        <v/>
      </c>
    </row>
    <row r="74" spans="2:3">
      <c r="B74" s="10"/>
      <c r="C74" t="str">
        <f>IF(B74="","",IF(COUNTIF(موجودی!$C$2:$C$839,"*"&amp;B74&amp;"*")&gt;0,"موجود","مغایرت"))</f>
        <v/>
      </c>
    </row>
    <row r="75" spans="2:3">
      <c r="B75" s="10"/>
      <c r="C75" t="str">
        <f>IF(B75="","",IF(COUNTIF(موجودی!$C$2:$C$839,"*"&amp;B75&amp;"*")&gt;0,"موجود","مغایرت"))</f>
        <v/>
      </c>
    </row>
    <row r="76" spans="2:3">
      <c r="B76" s="10"/>
      <c r="C76" t="str">
        <f>IF(B76="","",IF(COUNTIF(موجودی!$C$2:$C$839,"*"&amp;B76&amp;"*")&gt;0,"موجود","مغایرت"))</f>
        <v/>
      </c>
    </row>
    <row r="77" spans="2:3">
      <c r="B77" s="10"/>
      <c r="C77" t="str">
        <f>IF(B77="","",IF(COUNTIF(موجودی!$C$2:$C$839,"*"&amp;B77&amp;"*")&gt;0,"موجود","مغایرت"))</f>
        <v/>
      </c>
    </row>
    <row r="78" spans="2:3">
      <c r="B78" s="10"/>
      <c r="C78" t="str">
        <f>IF(B78="","",IF(COUNTIF(موجودی!$C$2:$C$839,"*"&amp;B78&amp;"*")&gt;0,"موجود","مغایرت"))</f>
        <v/>
      </c>
    </row>
    <row r="79" spans="2:3">
      <c r="B79" s="10"/>
      <c r="C79" t="str">
        <f>IF(B79="","",IF(COUNTIF(موجودی!$C$2:$C$839,"*"&amp;B79&amp;"*")&gt;0,"موجود","مغایرت"))</f>
        <v/>
      </c>
    </row>
    <row r="80" spans="2:3">
      <c r="B80" s="10"/>
      <c r="C80" t="str">
        <f>IF(B80="","",IF(COUNTIF(موجودی!$C$2:$C$839,"*"&amp;B80&amp;"*")&gt;0,"موجود","مغایرت"))</f>
        <v/>
      </c>
    </row>
    <row r="81" spans="2:3">
      <c r="B81" s="10"/>
      <c r="C81" t="str">
        <f>IF(B81="","",IF(COUNTIF(موجودی!$C$2:$C$839,"*"&amp;B81&amp;"*")&gt;0,"موجود","مغایرت"))</f>
        <v/>
      </c>
    </row>
    <row r="82" spans="2:3">
      <c r="B82" s="10"/>
      <c r="C82" t="str">
        <f>IF(B82="","",IF(COUNTIF(موجودی!$C$2:$C$839,"*"&amp;B82&amp;"*")&gt;0,"موجود","مغایرت"))</f>
        <v/>
      </c>
    </row>
    <row r="83" spans="2:3">
      <c r="B83" s="10"/>
      <c r="C83" t="str">
        <f>IF(B83="","",IF(COUNTIF(موجودی!$C$2:$C$839,"*"&amp;B83&amp;"*")&gt;0,"موجود","مغایرت"))</f>
        <v/>
      </c>
    </row>
    <row r="84" spans="2:3">
      <c r="B84" s="10"/>
      <c r="C84" t="str">
        <f>IF(B84="","",IF(COUNTIF(موجودی!$C$2:$C$839,"*"&amp;B84&amp;"*")&gt;0,"موجود","مغایرت"))</f>
        <v/>
      </c>
    </row>
    <row r="85" spans="2:3">
      <c r="B85" s="10"/>
      <c r="C85" t="str">
        <f>IF(B85="","",IF(COUNTIF(موجودی!$C$2:$C$839,"*"&amp;B85&amp;"*")&gt;0,"موجود","مغایرت"))</f>
        <v/>
      </c>
    </row>
    <row r="86" spans="2:3">
      <c r="B86" s="10"/>
      <c r="C86" t="str">
        <f>IF(B86="","",IF(COUNTIF(موجودی!$C$2:$C$839,"*"&amp;B86&amp;"*")&gt;0,"موجود","مغایرت"))</f>
        <v/>
      </c>
    </row>
    <row r="87" spans="2:3">
      <c r="B87" s="10"/>
      <c r="C87" t="str">
        <f>IF(B87="","",IF(COUNTIF(موجودی!$C$2:$C$839,"*"&amp;B87&amp;"*")&gt;0,"موجود","مغایرت"))</f>
        <v/>
      </c>
    </row>
    <row r="88" spans="2:3">
      <c r="B88" s="10"/>
      <c r="C88" t="str">
        <f>IF(B88="","",IF(COUNTIF(موجودی!$C$2:$C$839,"*"&amp;B88&amp;"*")&gt;0,"موجود","مغایرت"))</f>
        <v/>
      </c>
    </row>
    <row r="89" spans="2:3">
      <c r="B89" s="10"/>
      <c r="C89" t="str">
        <f>IF(B89="","",IF(COUNTIF(موجودی!$C$2:$C$839,"*"&amp;B89&amp;"*")&gt;0,"موجود","مغایرت"))</f>
        <v/>
      </c>
    </row>
    <row r="90" spans="2:3">
      <c r="B90" s="10"/>
      <c r="C90" t="str">
        <f>IF(B90="","",IF(COUNTIF(موجودی!$C$2:$C$839,"*"&amp;B90&amp;"*")&gt;0,"موجود","مغایرت"))</f>
        <v/>
      </c>
    </row>
    <row r="91" spans="2:3">
      <c r="B91" s="10"/>
      <c r="C91" t="str">
        <f>IF(B91="","",IF(COUNTIF(موجودی!$C$2:$C$839,"*"&amp;B91&amp;"*")&gt;0,"موجود","مغایرت"))</f>
        <v/>
      </c>
    </row>
    <row r="92" spans="2:3">
      <c r="B92" s="10"/>
      <c r="C92" t="str">
        <f>IF(B92="","",IF(COUNTIF(موجودی!$C$2:$C$839,"*"&amp;B92&amp;"*")&gt;0,"موجود","مغایرت"))</f>
        <v/>
      </c>
    </row>
    <row r="93" spans="2:3">
      <c r="B93" s="10"/>
      <c r="C93" t="str">
        <f>IF(B93="","",IF(COUNTIF(موجودی!$C$2:$C$839,"*"&amp;B93&amp;"*")&gt;0,"موجود","مغایرت"))</f>
        <v/>
      </c>
    </row>
    <row r="94" spans="2:3">
      <c r="B94" s="10"/>
      <c r="C94" t="str">
        <f>IF(B94="","",IF(COUNTIF(موجودی!$C$2:$C$839,"*"&amp;B94&amp;"*")&gt;0,"موجود","مغایرت"))</f>
        <v/>
      </c>
    </row>
    <row r="95" spans="2:3">
      <c r="B95" s="10"/>
      <c r="C95" t="str">
        <f>IF(B95="","",IF(COUNTIF(موجودی!$C$2:$C$839,"*"&amp;B95&amp;"*")&gt;0,"موجود","مغایرت"))</f>
        <v/>
      </c>
    </row>
    <row r="96" spans="2:3">
      <c r="B96" s="10"/>
      <c r="C96" t="str">
        <f>IF(B96="","",IF(COUNTIF(موجودی!$C$2:$C$839,"*"&amp;B96&amp;"*")&gt;0,"موجود","مغایرت"))</f>
        <v/>
      </c>
    </row>
    <row r="97" spans="2:3">
      <c r="B97" s="10"/>
      <c r="C97" t="str">
        <f>IF(B97="","",IF(COUNTIF(موجودی!$C$2:$C$839,"*"&amp;B97&amp;"*")&gt;0,"موجود","مغایرت"))</f>
        <v/>
      </c>
    </row>
    <row r="98" spans="2:3">
      <c r="B98" s="10"/>
      <c r="C98" t="str">
        <f>IF(B98="","",IF(COUNTIF(موجودی!$C$2:$C$839,"*"&amp;B98&amp;"*")&gt;0,"موجود","مغایرت"))</f>
        <v/>
      </c>
    </row>
    <row r="99" spans="2:3">
      <c r="B99" s="10"/>
      <c r="C99" t="str">
        <f>IF(B99="","",IF(COUNTIF(موجودی!$C$2:$C$839,"*"&amp;B99&amp;"*")&gt;0,"موجود","مغایرت"))</f>
        <v/>
      </c>
    </row>
    <row r="100" spans="2:3">
      <c r="B100" s="10"/>
      <c r="C100" t="str">
        <f>IF(B100="","",IF(COUNTIF(موجودی!$C$2:$C$839,"*"&amp;B100&amp;"*")&gt;0,"موجود","مغایرت"))</f>
        <v/>
      </c>
    </row>
    <row r="101" spans="2:3">
      <c r="B101" s="10"/>
      <c r="C101" t="str">
        <f>IF(B101="","",IF(COUNTIF(موجودی!$C$2:$C$839,"*"&amp;B101&amp;"*")&gt;0,"موجود","مغایرت"))</f>
        <v/>
      </c>
    </row>
    <row r="102" spans="2:3">
      <c r="B102" s="10"/>
      <c r="C102" t="str">
        <f>IF(B102="","",IF(COUNTIF(موجودی!$C$2:$C$839,"*"&amp;B102&amp;"*")&gt;0,"موجود","مغایرت"))</f>
        <v/>
      </c>
    </row>
    <row r="103" spans="2:3">
      <c r="B103" s="10"/>
      <c r="C103" t="str">
        <f>IF(B103="","",IF(COUNTIF(موجودی!$C$2:$C$839,"*"&amp;B103&amp;"*")&gt;0,"موجود","مغایرت"))</f>
        <v/>
      </c>
    </row>
    <row r="104" spans="2:3">
      <c r="B104" s="10"/>
      <c r="C104" t="str">
        <f>IF(B104="","",IF(COUNTIF(موجودی!$C$2:$C$839,"*"&amp;B104&amp;"*")&gt;0,"موجود","مغایرت"))</f>
        <v/>
      </c>
    </row>
    <row r="105" spans="2:3">
      <c r="B105" s="10"/>
      <c r="C105" t="str">
        <f>IF(B105="","",IF(COUNTIF(موجودی!$C$2:$C$839,"*"&amp;B105&amp;"*")&gt;0,"موجود","مغایرت"))</f>
        <v/>
      </c>
    </row>
    <row r="106" spans="2:3">
      <c r="B106" s="10"/>
      <c r="C106" t="str">
        <f>IF(B106="","",IF(COUNTIF(موجودی!$C$2:$C$839,"*"&amp;B106&amp;"*")&gt;0,"موجود","مغایرت"))</f>
        <v/>
      </c>
    </row>
    <row r="107" spans="2:3">
      <c r="B107" s="10"/>
      <c r="C107" t="str">
        <f>IF(B107="","",IF(COUNTIF(موجودی!$C$2:$C$839,"*"&amp;B107&amp;"*")&gt;0,"موجود","مغایرت"))</f>
        <v/>
      </c>
    </row>
    <row r="108" spans="2:3">
      <c r="B108" s="10"/>
      <c r="C108" t="str">
        <f>IF(B108="","",IF(COUNTIF(موجودی!$C$2:$C$839,"*"&amp;B108&amp;"*")&gt;0,"موجود","مغایرت"))</f>
        <v/>
      </c>
    </row>
    <row r="109" spans="2:3">
      <c r="B109" s="10"/>
      <c r="C109" t="str">
        <f>IF(B109="","",IF(COUNTIF(موجودی!$C$2:$C$839,"*"&amp;B109&amp;"*")&gt;0,"موجود","مغایرت"))</f>
        <v/>
      </c>
    </row>
    <row r="110" spans="2:3">
      <c r="B110" s="10"/>
      <c r="C110" t="str">
        <f>IF(B110="","",IF(COUNTIF(موجودی!$C$2:$C$839,"*"&amp;B110&amp;"*")&gt;0,"موجود","مغایرت"))</f>
        <v/>
      </c>
    </row>
    <row r="111" spans="2:3">
      <c r="B111" s="10"/>
      <c r="C111" t="str">
        <f>IF(B111="","",IF(COUNTIF(موجودی!$C$2:$C$839,"*"&amp;B111&amp;"*")&gt;0,"موجود","مغایرت"))</f>
        <v/>
      </c>
    </row>
    <row r="112" spans="2:3">
      <c r="B112" s="10"/>
      <c r="C112" t="str">
        <f>IF(B112="","",IF(COUNTIF(موجودی!$C$2:$C$839,"*"&amp;B112&amp;"*")&gt;0,"موجود","مغایرت"))</f>
        <v/>
      </c>
    </row>
    <row r="113" spans="2:3">
      <c r="B113" s="10"/>
      <c r="C113" t="str">
        <f>IF(B113="","",IF(COUNTIF(موجودی!$C$2:$C$839,"*"&amp;B113&amp;"*")&gt;0,"موجود","مغایرت"))</f>
        <v/>
      </c>
    </row>
    <row r="114" spans="2:3">
      <c r="B114" s="10"/>
      <c r="C114" t="str">
        <f>IF(B114="","",IF(COUNTIF(موجودی!$C$2:$C$839,"*"&amp;B114&amp;"*")&gt;0,"موجود","مغایرت"))</f>
        <v/>
      </c>
    </row>
    <row r="115" spans="2:3">
      <c r="B115" s="10"/>
      <c r="C115" t="str">
        <f>IF(B115="","",IF(COUNTIF(موجودی!$C$2:$C$839,"*"&amp;B115&amp;"*")&gt;0,"موجود","مغایرت"))</f>
        <v/>
      </c>
    </row>
    <row r="116" spans="2:3">
      <c r="B116" s="10"/>
      <c r="C116" t="str">
        <f>IF(B116="","",IF(COUNTIF(موجودی!$C$2:$C$839,"*"&amp;B116&amp;"*")&gt;0,"موجود","مغایرت"))</f>
        <v/>
      </c>
    </row>
    <row r="117" spans="2:3">
      <c r="B117" s="10"/>
      <c r="C117" t="str">
        <f>IF(B117="","",IF(COUNTIF(موجودی!$C$2:$C$839,"*"&amp;B117&amp;"*")&gt;0,"موجود","مغایرت"))</f>
        <v/>
      </c>
    </row>
    <row r="118" spans="2:3">
      <c r="B118" s="10"/>
      <c r="C118" t="str">
        <f>IF(B118="","",IF(COUNTIF(موجودی!$C$2:$C$839,"*"&amp;B118&amp;"*")&gt;0,"موجود","مغایرت"))</f>
        <v/>
      </c>
    </row>
    <row r="119" spans="2:3">
      <c r="B119" s="10"/>
      <c r="C119" t="str">
        <f>IF(B119="","",IF(COUNTIF(موجودی!$C$2:$C$839,"*"&amp;B119&amp;"*")&gt;0,"موجود","مغایرت"))</f>
        <v/>
      </c>
    </row>
    <row r="120" spans="2:3">
      <c r="B120" s="10"/>
      <c r="C120" t="str">
        <f>IF(B120="","",IF(COUNTIF(موجودی!$C$2:$C$839,"*"&amp;B120&amp;"*")&gt;0,"موجود","مغایرت"))</f>
        <v/>
      </c>
    </row>
    <row r="121" spans="2:3">
      <c r="B121" s="10"/>
      <c r="C121" t="str">
        <f>IF(B121="","",IF(COUNTIF(موجودی!$C$2:$C$839,"*"&amp;B121&amp;"*")&gt;0,"موجود","مغایرت"))</f>
        <v/>
      </c>
    </row>
    <row r="122" spans="2:3">
      <c r="B122" s="10"/>
      <c r="C122" t="str">
        <f>IF(B122="","",IF(COUNTIF(موجودی!$C$2:$C$839,"*"&amp;B122&amp;"*")&gt;0,"موجود","مغایرت"))</f>
        <v/>
      </c>
    </row>
    <row r="123" spans="2:3">
      <c r="B123" s="10"/>
      <c r="C123" t="str">
        <f>IF(B123="","",IF(COUNTIF(موجودی!$C$2:$C$839,"*"&amp;B123&amp;"*")&gt;0,"موجود","مغایرت"))</f>
        <v/>
      </c>
    </row>
    <row r="124" spans="2:3">
      <c r="B124" s="10"/>
      <c r="C124" t="str">
        <f>IF(B124="","",IF(COUNTIF(موجودی!$C$2:$C$839,"*"&amp;B124&amp;"*")&gt;0,"موجود","مغایرت"))</f>
        <v/>
      </c>
    </row>
    <row r="125" spans="2:3">
      <c r="B125" s="10"/>
      <c r="C125" t="str">
        <f>IF(B125="","",IF(COUNTIF(موجودی!$C$2:$C$839,"*"&amp;B125&amp;"*")&gt;0,"موجود","مغایرت"))</f>
        <v/>
      </c>
    </row>
    <row r="126" spans="2:3">
      <c r="B126" s="10"/>
      <c r="C126" t="str">
        <f>IF(B126="","",IF(COUNTIF(موجودی!$C$2:$C$839,"*"&amp;B126&amp;"*")&gt;0,"موجود","مغایرت"))</f>
        <v/>
      </c>
    </row>
    <row r="127" spans="2:3">
      <c r="B127" s="10"/>
      <c r="C127" t="str">
        <f>IF(B127="","",IF(COUNTIF(موجودی!$C$2:$C$839,"*"&amp;B127&amp;"*")&gt;0,"موجود","مغایرت"))</f>
        <v/>
      </c>
    </row>
    <row r="128" spans="2:3">
      <c r="B128" s="10"/>
      <c r="C128" t="str">
        <f>IF(B128="","",IF(COUNTIF(موجودی!$C$2:$C$839,"*"&amp;B128&amp;"*")&gt;0,"موجود","مغایرت"))</f>
        <v/>
      </c>
    </row>
    <row r="129" spans="2:3">
      <c r="B129" s="10"/>
      <c r="C129" t="str">
        <f>IF(B129="","",IF(COUNTIF(موجودی!$C$2:$C$839,"*"&amp;B129&amp;"*")&gt;0,"موجود","مغایرت"))</f>
        <v/>
      </c>
    </row>
    <row r="130" spans="2:3">
      <c r="B130" s="10"/>
      <c r="C130" t="str">
        <f>IF(B130="","",IF(COUNTIF(موجودی!$C$2:$C$839,"*"&amp;B130&amp;"*")&gt;0,"موجود","مغایرت"))</f>
        <v/>
      </c>
    </row>
    <row r="131" spans="2:3">
      <c r="B131" s="10"/>
      <c r="C131" t="str">
        <f>IF(B131="","",IF(COUNTIF(موجودی!$C$2:$C$839,"*"&amp;B131&amp;"*")&gt;0,"موجود","مغایرت"))</f>
        <v/>
      </c>
    </row>
    <row r="132" spans="2:3">
      <c r="B132" s="10"/>
      <c r="C132" t="str">
        <f>IF(B132="","",IF(COUNTIF(موجودی!$C$2:$C$839,"*"&amp;B132&amp;"*")&gt;0,"موجود","مغایرت"))</f>
        <v/>
      </c>
    </row>
    <row r="133" spans="2:3">
      <c r="B133" s="10"/>
      <c r="C133" t="str">
        <f>IF(B133="","",IF(COUNTIF(موجودی!$C$2:$C$839,"*"&amp;B133&amp;"*")&gt;0,"موجود","مغایرت"))</f>
        <v/>
      </c>
    </row>
    <row r="134" spans="2:3">
      <c r="B134" s="10"/>
      <c r="C134" t="str">
        <f>IF(B134="","",IF(COUNTIF(موجودی!$C$2:$C$839,"*"&amp;B134&amp;"*")&gt;0,"موجود","مغایرت"))</f>
        <v/>
      </c>
    </row>
    <row r="135" spans="2:3">
      <c r="B135" s="10"/>
      <c r="C135" t="str">
        <f>IF(B135="","",IF(COUNTIF(موجودی!$C$2:$C$839,"*"&amp;B135&amp;"*")&gt;0,"موجود","مغایرت"))</f>
        <v/>
      </c>
    </row>
    <row r="136" spans="2:3">
      <c r="B136" s="10"/>
      <c r="C136" t="str">
        <f>IF(B136="","",IF(COUNTIF(موجودی!$C$2:$C$839,"*"&amp;B136&amp;"*")&gt;0,"موجود","مغایرت"))</f>
        <v/>
      </c>
    </row>
    <row r="137" spans="2:3">
      <c r="B137" s="10"/>
      <c r="C137" t="str">
        <f>IF(B137="","",IF(COUNTIF(موجودی!$C$2:$C$839,"*"&amp;B137&amp;"*")&gt;0,"موجود","مغایرت"))</f>
        <v/>
      </c>
    </row>
    <row r="138" spans="2:3">
      <c r="B138" s="10"/>
      <c r="C138" t="str">
        <f>IF(B138="","",IF(COUNTIF(موجودی!$C$2:$C$839,"*"&amp;B138&amp;"*")&gt;0,"موجود","مغایرت"))</f>
        <v/>
      </c>
    </row>
    <row r="139" spans="2:3">
      <c r="B139" s="10"/>
      <c r="C139" t="str">
        <f>IF(B139="","",IF(COUNTIF(موجودی!$C$2:$C$839,"*"&amp;B139&amp;"*")&gt;0,"موجود","مغایرت"))</f>
        <v/>
      </c>
    </row>
    <row r="140" spans="2:3">
      <c r="B140" s="10"/>
      <c r="C140" t="str">
        <f>IF(B140="","",IF(COUNTIF(موجودی!$C$2:$C$839,"*"&amp;B140&amp;"*")&gt;0,"موجود","مغایرت"))</f>
        <v/>
      </c>
    </row>
    <row r="141" spans="2:3">
      <c r="B141" s="10"/>
      <c r="C141" t="str">
        <f>IF(B141="","",IF(COUNTIF(موجودی!$C$2:$C$839,"*"&amp;B141&amp;"*")&gt;0,"موجود","مغایرت"))</f>
        <v/>
      </c>
    </row>
    <row r="142" spans="2:3">
      <c r="B142" s="10"/>
      <c r="C142" t="str">
        <f>IF(B142="","",IF(COUNTIF(موجودی!$C$2:$C$839,"*"&amp;B142&amp;"*")&gt;0,"موجود","مغایرت"))</f>
        <v/>
      </c>
    </row>
    <row r="143" spans="2:3">
      <c r="B143" s="10"/>
      <c r="C143" t="str">
        <f>IF(B143="","",IF(COUNTIF(موجودی!$C$2:$C$839,"*"&amp;B143&amp;"*")&gt;0,"موجود","مغایرت"))</f>
        <v/>
      </c>
    </row>
    <row r="144" spans="2:3">
      <c r="B144" s="10"/>
      <c r="C144" t="str">
        <f>IF(B144="","",IF(COUNTIF(موجودی!$C$2:$C$839,"*"&amp;B144&amp;"*")&gt;0,"موجود","مغایرت"))</f>
        <v/>
      </c>
    </row>
    <row r="145" spans="2:3">
      <c r="B145" s="10"/>
      <c r="C145" t="str">
        <f>IF(B145="","",IF(COUNTIF(موجودی!$C$2:$C$839,"*"&amp;B145&amp;"*")&gt;0,"موجود","مغایرت"))</f>
        <v/>
      </c>
    </row>
    <row r="146" spans="2:3">
      <c r="B146" s="10"/>
      <c r="C146" t="str">
        <f>IF(B146="","",IF(COUNTIF(موجودی!$C$2:$C$839,"*"&amp;B146&amp;"*")&gt;0,"موجود","مغایرت"))</f>
        <v/>
      </c>
    </row>
    <row r="147" spans="2:3">
      <c r="B147" s="10"/>
      <c r="C147" t="str">
        <f>IF(B147="","",IF(COUNTIF(موجودی!$C$2:$C$839,"*"&amp;B147&amp;"*")&gt;0,"موجود","مغایرت"))</f>
        <v/>
      </c>
    </row>
    <row r="148" spans="2:3">
      <c r="B148" s="10"/>
      <c r="C148" t="str">
        <f>IF(B148="","",IF(COUNTIF(موجودی!$C$2:$C$839,"*"&amp;B148&amp;"*")&gt;0,"موجود","مغایرت"))</f>
        <v/>
      </c>
    </row>
    <row r="149" spans="2:3">
      <c r="B149" s="10"/>
      <c r="C149" t="str">
        <f>IF(B149="","",IF(COUNTIF(موجودی!$C$2:$C$839,"*"&amp;B149&amp;"*")&gt;0,"موجود","مغایرت"))</f>
        <v/>
      </c>
    </row>
    <row r="150" spans="2:3">
      <c r="B150" s="10"/>
      <c r="C150" t="str">
        <f>IF(B150="","",IF(COUNTIF(موجودی!$C$2:$C$839,"*"&amp;B150&amp;"*")&gt;0,"موجود","مغایرت"))</f>
        <v/>
      </c>
    </row>
    <row r="151" spans="2:3">
      <c r="B151" s="10"/>
      <c r="C151" t="str">
        <f>IF(B151="","",IF(COUNTIF(موجودی!$C$2:$C$839,"*"&amp;B151&amp;"*")&gt;0,"موجود","مغایرت"))</f>
        <v/>
      </c>
    </row>
    <row r="152" spans="2:3">
      <c r="B152" s="10"/>
      <c r="C152" t="str">
        <f>IF(B152="","",IF(COUNTIF(موجودی!$C$2:$C$839,"*"&amp;B152&amp;"*")&gt;0,"موجود","مغایرت"))</f>
        <v/>
      </c>
    </row>
    <row r="153" spans="2:3">
      <c r="B153" s="10"/>
      <c r="C153" t="str">
        <f>IF(B153="","",IF(COUNTIF(موجودی!$C$2:$C$839,"*"&amp;B153&amp;"*")&gt;0,"موجود","مغایرت"))</f>
        <v/>
      </c>
    </row>
    <row r="154" spans="2:3">
      <c r="B154" s="10"/>
      <c r="C154" t="str">
        <f>IF(B154="","",IF(COUNTIF(موجودی!$C$2:$C$839,"*"&amp;B154&amp;"*")&gt;0,"موجود","مغایرت"))</f>
        <v/>
      </c>
    </row>
    <row r="155" spans="2:3">
      <c r="B155" s="10"/>
      <c r="C155" t="str">
        <f>IF(B155="","",IF(COUNTIF(موجودی!$C$2:$C$839,"*"&amp;B155&amp;"*")&gt;0,"موجود","مغایرت"))</f>
        <v/>
      </c>
    </row>
    <row r="156" spans="2:3">
      <c r="B156" s="10"/>
      <c r="C156" t="str">
        <f>IF(B156="","",IF(COUNTIF(موجودی!$C$2:$C$839,"*"&amp;B156&amp;"*")&gt;0,"موجود","مغایرت"))</f>
        <v/>
      </c>
    </row>
    <row r="157" spans="2:3">
      <c r="B157" s="10"/>
      <c r="C157" t="str">
        <f>IF(B157="","",IF(COUNTIF(موجودی!$C$2:$C$839,"*"&amp;B157&amp;"*")&gt;0,"موجود","مغایرت"))</f>
        <v/>
      </c>
    </row>
    <row r="158" spans="2:3">
      <c r="B158" s="10"/>
      <c r="C158" t="str">
        <f>IF(B158="","",IF(COUNTIF(موجودی!$C$2:$C$839,"*"&amp;B158&amp;"*")&gt;0,"موجود","مغایرت"))</f>
        <v/>
      </c>
    </row>
    <row r="159" spans="2:3">
      <c r="B159" s="10"/>
      <c r="C159" t="str">
        <f>IF(B159="","",IF(COUNTIF(موجودی!$C$2:$C$839,"*"&amp;B159&amp;"*")&gt;0,"موجود","مغایرت"))</f>
        <v/>
      </c>
    </row>
    <row r="160" spans="2:3">
      <c r="B160" s="10"/>
      <c r="C160" t="str">
        <f>IF(B160="","",IF(COUNTIF(موجودی!$C$2:$C$839,"*"&amp;B160&amp;"*")&gt;0,"موجود","مغایرت"))</f>
        <v/>
      </c>
    </row>
    <row r="161" spans="2:3">
      <c r="B161" s="10"/>
      <c r="C161" t="str">
        <f>IF(B161="","",IF(COUNTIF(موجودی!$C$2:$C$839,"*"&amp;B161&amp;"*")&gt;0,"موجود","مغایرت"))</f>
        <v/>
      </c>
    </row>
    <row r="162" spans="2:3">
      <c r="B162" s="10"/>
      <c r="C162" t="str">
        <f>IF(B162="","",IF(COUNTIF(موجودی!$C$2:$C$839,"*"&amp;B162&amp;"*")&gt;0,"موجود","مغایرت"))</f>
        <v/>
      </c>
    </row>
    <row r="163" spans="2:3">
      <c r="B163" s="10"/>
      <c r="C163" t="str">
        <f>IF(B163="","",IF(COUNTIF(موجودی!$C$2:$C$839,"*"&amp;B163&amp;"*")&gt;0,"موجود","مغایرت"))</f>
        <v/>
      </c>
    </row>
    <row r="164" spans="2:3">
      <c r="B164" s="10"/>
      <c r="C164" t="str">
        <f>IF(B164="","",IF(COUNTIF(موجودی!$C$2:$C$839,"*"&amp;B164&amp;"*")&gt;0,"موجود","مغایرت"))</f>
        <v/>
      </c>
    </row>
    <row r="165" spans="2:3">
      <c r="B165" s="10"/>
      <c r="C165" t="str">
        <f>IF(B165="","",IF(COUNTIF(موجودی!$C$2:$C$839,"*"&amp;B165&amp;"*")&gt;0,"موجود","مغایرت"))</f>
        <v/>
      </c>
    </row>
    <row r="166" spans="2:3">
      <c r="B166" s="10"/>
      <c r="C166" t="str">
        <f>IF(B166="","",IF(COUNTIF(موجودی!$C$2:$C$839,"*"&amp;B166&amp;"*")&gt;0,"موجود","مغایرت"))</f>
        <v/>
      </c>
    </row>
    <row r="167" spans="2:3">
      <c r="B167" s="10"/>
      <c r="C167" t="str">
        <f>IF(B167="","",IF(COUNTIF(موجودی!$C$2:$C$839,"*"&amp;B167&amp;"*")&gt;0,"موجود","مغایرت"))</f>
        <v/>
      </c>
    </row>
    <row r="168" spans="2:3">
      <c r="B168" s="10"/>
      <c r="C168" t="str">
        <f>IF(B168="","",IF(COUNTIF(موجودی!$C$2:$C$839,"*"&amp;B168&amp;"*")&gt;0,"موجود","مغایرت"))</f>
        <v/>
      </c>
    </row>
    <row r="169" spans="2:3">
      <c r="B169" s="10"/>
      <c r="C169" t="str">
        <f>IF(B169="","",IF(COUNTIF(موجودی!$C$2:$C$839,"*"&amp;B169&amp;"*")&gt;0,"موجود","مغایرت"))</f>
        <v/>
      </c>
    </row>
    <row r="170" spans="2:3">
      <c r="B170" s="10"/>
      <c r="C170" t="str">
        <f>IF(B170="","",IF(COUNTIF(موجودی!$C$2:$C$839,"*"&amp;B170&amp;"*")&gt;0,"موجود","مغایرت"))</f>
        <v/>
      </c>
    </row>
    <row r="171" spans="2:3">
      <c r="B171" s="10"/>
      <c r="C171" t="str">
        <f>IF(B171="","",IF(COUNTIF(موجودی!$C$2:$C$839,"*"&amp;B171&amp;"*")&gt;0,"موجود","مغایرت"))</f>
        <v/>
      </c>
    </row>
    <row r="172" spans="2:3">
      <c r="B172" s="10"/>
      <c r="C172" t="str">
        <f>IF(B172="","",IF(COUNTIF(موجودی!$C$2:$C$839,"*"&amp;B172&amp;"*")&gt;0,"موجود","مغایرت"))</f>
        <v/>
      </c>
    </row>
    <row r="173" spans="2:3">
      <c r="B173" s="10"/>
      <c r="C173" t="str">
        <f>IF(B173="","",IF(COUNTIF(موجودی!$C$2:$C$839,"*"&amp;B173&amp;"*")&gt;0,"موجود","مغایرت"))</f>
        <v/>
      </c>
    </row>
    <row r="174" spans="2:3">
      <c r="B174" s="10"/>
      <c r="C174" t="str">
        <f>IF(B174="","",IF(COUNTIF(موجودی!$C$2:$C$839,"*"&amp;B174&amp;"*")&gt;0,"موجود","مغایرت"))</f>
        <v/>
      </c>
    </row>
    <row r="175" spans="2:3">
      <c r="B175" s="10"/>
      <c r="C175" t="str">
        <f>IF(B175="","",IF(COUNTIF(موجودی!$C$2:$C$839,"*"&amp;B175&amp;"*")&gt;0,"موجود","مغایرت"))</f>
        <v/>
      </c>
    </row>
    <row r="176" spans="2:3">
      <c r="B176" s="10"/>
      <c r="C176" t="str">
        <f>IF(B176="","",IF(COUNTIF(موجودی!$C$2:$C$839,"*"&amp;B176&amp;"*")&gt;0,"موجود","مغایرت"))</f>
        <v/>
      </c>
    </row>
    <row r="177" spans="2:3">
      <c r="B177" s="10"/>
      <c r="C177" t="str">
        <f>IF(B177="","",IF(COUNTIF(موجودی!$C$2:$C$839,"*"&amp;B177&amp;"*")&gt;0,"موجود","مغایرت"))</f>
        <v/>
      </c>
    </row>
    <row r="178" spans="2:3">
      <c r="B178" s="10"/>
      <c r="C178" t="str">
        <f>IF(B178="","",IF(COUNTIF(موجودی!$C$2:$C$839,"*"&amp;B178&amp;"*")&gt;0,"موجود","مغایرت"))</f>
        <v/>
      </c>
    </row>
    <row r="179" spans="2:3">
      <c r="B179" s="10"/>
      <c r="C179" t="str">
        <f>IF(B179="","",IF(COUNTIF(موجودی!$C$2:$C$839,"*"&amp;B179&amp;"*")&gt;0,"موجود","مغایرت"))</f>
        <v/>
      </c>
    </row>
    <row r="180" spans="2:3">
      <c r="B180" s="10"/>
      <c r="C180" t="str">
        <f>IF(B180="","",IF(COUNTIF(موجودی!$C$2:$C$839,"*"&amp;B180&amp;"*")&gt;0,"موجود","مغایرت"))</f>
        <v/>
      </c>
    </row>
    <row r="181" spans="2:3">
      <c r="B181" s="10"/>
      <c r="C181" t="str">
        <f>IF(B181="","",IF(COUNTIF(موجودی!$C$2:$C$839,"*"&amp;B181&amp;"*")&gt;0,"موجود","مغایرت"))</f>
        <v/>
      </c>
    </row>
    <row r="182" spans="2:3">
      <c r="B182" s="10"/>
      <c r="C182" t="str">
        <f>IF(B182="","",IF(COUNTIF(موجودی!$C$2:$C$839,"*"&amp;B182&amp;"*")&gt;0,"موجود","مغایرت"))</f>
        <v/>
      </c>
    </row>
    <row r="183" spans="2:3">
      <c r="B183" s="10"/>
      <c r="C183" t="str">
        <f>IF(B183="","",IF(COUNTIF(موجودی!$C$2:$C$839,"*"&amp;B183&amp;"*")&gt;0,"موجود","مغایرت"))</f>
        <v/>
      </c>
    </row>
    <row r="184" spans="2:3">
      <c r="B184" s="10"/>
      <c r="C184" t="str">
        <f>IF(B184="","",IF(COUNTIF(موجودی!$C$2:$C$839,"*"&amp;B184&amp;"*")&gt;0,"موجود","مغایرت"))</f>
        <v/>
      </c>
    </row>
    <row r="185" spans="2:3">
      <c r="B185" s="10"/>
      <c r="C185" t="str">
        <f>IF(B185="","",IF(COUNTIF(موجودی!$C$2:$C$839,"*"&amp;B185&amp;"*")&gt;0,"موجود","مغایرت"))</f>
        <v/>
      </c>
    </row>
    <row r="186" spans="2:3">
      <c r="B186" s="10"/>
      <c r="C186" t="str">
        <f>IF(B186="","",IF(COUNTIF(موجودی!$C$2:$C$839,"*"&amp;B186&amp;"*")&gt;0,"موجود","مغایرت"))</f>
        <v/>
      </c>
    </row>
    <row r="187" spans="2:3">
      <c r="B187" s="10"/>
      <c r="C187" t="str">
        <f>IF(B187="","",IF(COUNTIF(موجودی!$C$2:$C$839,"*"&amp;B187&amp;"*")&gt;0,"موجود","مغایرت"))</f>
        <v/>
      </c>
    </row>
    <row r="188" spans="2:3">
      <c r="B188" s="10"/>
      <c r="C188" t="str">
        <f>IF(B188="","",IF(COUNTIF(موجودی!$C$2:$C$839,"*"&amp;B188&amp;"*")&gt;0,"موجود","مغایرت"))</f>
        <v/>
      </c>
    </row>
    <row r="189" spans="2:3">
      <c r="B189" s="10"/>
      <c r="C189" t="str">
        <f>IF(B189="","",IF(COUNTIF(موجودی!$C$2:$C$839,"*"&amp;B189&amp;"*")&gt;0,"موجود","مغایرت"))</f>
        <v/>
      </c>
    </row>
    <row r="190" spans="2:3">
      <c r="B190" s="10"/>
      <c r="C190" t="str">
        <f>IF(B190="","",IF(COUNTIF(موجودی!$C$2:$C$839,"*"&amp;B190&amp;"*")&gt;0,"موجود","مغایرت"))</f>
        <v/>
      </c>
    </row>
    <row r="191" spans="2:3">
      <c r="B191" s="10"/>
      <c r="C191" t="str">
        <f>IF(B191="","",IF(COUNTIF(موجودی!$C$2:$C$839,"*"&amp;B191&amp;"*")&gt;0,"موجود","مغایرت"))</f>
        <v/>
      </c>
    </row>
    <row r="192" spans="2:3">
      <c r="B192" s="10"/>
      <c r="C192" t="str">
        <f>IF(B192="","",IF(COUNTIF(موجودی!$C$2:$C$839,"*"&amp;B192&amp;"*")&gt;0,"موجود","مغایرت"))</f>
        <v/>
      </c>
    </row>
    <row r="193" spans="2:3">
      <c r="B193" s="10"/>
      <c r="C193" t="str">
        <f>IF(B193="","",IF(COUNTIF(موجودی!$C$2:$C$839,"*"&amp;B193&amp;"*")&gt;0,"موجود","مغایرت"))</f>
        <v/>
      </c>
    </row>
    <row r="194" spans="2:3">
      <c r="B194" s="10"/>
      <c r="C194" t="str">
        <f>IF(B194="","",IF(COUNTIF(موجودی!$C$2:$C$839,"*"&amp;B194&amp;"*")&gt;0,"موجود","مغایرت"))</f>
        <v/>
      </c>
    </row>
    <row r="195" spans="2:3">
      <c r="B195" s="10"/>
      <c r="C195" t="str">
        <f>IF(B195="","",IF(COUNTIF(موجودی!$C$2:$C$839,"*"&amp;B195&amp;"*")&gt;0,"موجود","مغایرت"))</f>
        <v/>
      </c>
    </row>
    <row r="196" spans="2:3">
      <c r="B196" s="10"/>
      <c r="C196" t="str">
        <f>IF(B196="","",IF(COUNTIF(موجودی!$C$2:$C$839,"*"&amp;B196&amp;"*")&gt;0,"موجود","مغایرت"))</f>
        <v/>
      </c>
    </row>
    <row r="197" spans="2:3">
      <c r="B197" s="10"/>
      <c r="C197" t="str">
        <f>IF(B197="","",IF(COUNTIF(موجودی!$C$2:$C$839,"*"&amp;B197&amp;"*")&gt;0,"موجود","مغایرت"))</f>
        <v/>
      </c>
    </row>
    <row r="198" spans="2:3">
      <c r="B198" s="10"/>
      <c r="C198" t="str">
        <f>IF(B198="","",IF(COUNTIF(موجودی!$C$2:$C$839,"*"&amp;B198&amp;"*")&gt;0,"موجود","مغایرت"))</f>
        <v/>
      </c>
    </row>
    <row r="199" spans="2:3">
      <c r="B199" s="10"/>
      <c r="C199" t="str">
        <f>IF(B199="","",IF(COUNTIF(موجودی!$C$2:$C$839,"*"&amp;B199&amp;"*")&gt;0,"موجود","مغایرت"))</f>
        <v/>
      </c>
    </row>
    <row r="200" spans="2:3">
      <c r="B200" s="10"/>
      <c r="C200" t="str">
        <f>IF(B200="","",IF(COUNTIF(موجودی!$C$2:$C$839,"*"&amp;B200&amp;"*")&gt;0,"موجود","مغایرت"))</f>
        <v/>
      </c>
    </row>
    <row r="201" spans="2:3">
      <c r="B201" s="10"/>
      <c r="C201" t="str">
        <f>IF(B201="","",IF(COUNTIF(موجودی!$C$2:$C$839,"*"&amp;B201&amp;"*")&gt;0,"موجود","مغایرت"))</f>
        <v/>
      </c>
    </row>
    <row r="202" spans="2:3">
      <c r="B202" s="10"/>
      <c r="C202" t="str">
        <f>IF(B202="","",IF(COUNTIF(موجودی!$C$2:$C$839,"*"&amp;B202&amp;"*")&gt;0,"موجود","مغایرت"))</f>
        <v/>
      </c>
    </row>
    <row r="203" spans="2:3">
      <c r="B203" s="10"/>
      <c r="C203" t="str">
        <f>IF(B203="","",IF(COUNTIF(موجودی!$C$2:$C$839,"*"&amp;B203&amp;"*")&gt;0,"موجود","مغایرت"))</f>
        <v/>
      </c>
    </row>
    <row r="204" spans="2:3">
      <c r="B204" s="10"/>
      <c r="C204" t="str">
        <f>IF(B204="","",IF(COUNTIF(موجودی!$C$2:$C$839,"*"&amp;B204&amp;"*")&gt;0,"موجود","مغایرت"))</f>
        <v/>
      </c>
    </row>
    <row r="205" spans="2:3">
      <c r="B205" s="10"/>
      <c r="C205" t="str">
        <f>IF(B205="","",IF(COUNTIF(موجودی!$C$2:$C$839,"*"&amp;B205&amp;"*")&gt;0,"موجود","مغایرت"))</f>
        <v/>
      </c>
    </row>
    <row r="206" spans="2:3">
      <c r="B206" s="10"/>
      <c r="C206" t="str">
        <f>IF(B206="","",IF(COUNTIF(موجودی!$C$2:$C$839,"*"&amp;B206&amp;"*")&gt;0,"موجود","مغایرت"))</f>
        <v/>
      </c>
    </row>
    <row r="207" spans="2:3">
      <c r="B207" s="10"/>
      <c r="C207" t="str">
        <f>IF(B207="","",IF(COUNTIF(موجودی!$C$2:$C$839,"*"&amp;B207&amp;"*")&gt;0,"موجود","مغایرت"))</f>
        <v/>
      </c>
    </row>
    <row r="208" spans="2:3">
      <c r="B208" s="10"/>
      <c r="C208" t="str">
        <f>IF(B208="","",IF(COUNTIF(موجودی!$C$2:$C$839,"*"&amp;B208&amp;"*")&gt;0,"موجود","مغایرت"))</f>
        <v/>
      </c>
    </row>
    <row r="209" spans="2:3">
      <c r="B209" s="10"/>
      <c r="C209" t="str">
        <f>IF(B209="","",IF(COUNTIF(موجودی!$C$2:$C$839,"*"&amp;B209&amp;"*")&gt;0,"موجود","مغایرت"))</f>
        <v/>
      </c>
    </row>
    <row r="210" spans="2:3">
      <c r="B210" s="10"/>
      <c r="C210" t="str">
        <f>IF(B210="","",IF(COUNTIF(موجودی!$C$2:$C$839,"*"&amp;B210&amp;"*")&gt;0,"موجود","مغایرت"))</f>
        <v/>
      </c>
    </row>
    <row r="211" spans="2:3">
      <c r="B211" s="10"/>
      <c r="C211" t="str">
        <f>IF(B211="","",IF(COUNTIF(موجودی!$C$2:$C$839,"*"&amp;B211&amp;"*")&gt;0,"موجود","مغایرت"))</f>
        <v/>
      </c>
    </row>
    <row r="212" spans="2:3">
      <c r="B212" s="10"/>
      <c r="C212" t="str">
        <f>IF(B212="","",IF(COUNTIF(موجودی!$C$2:$C$839,"*"&amp;B212&amp;"*")&gt;0,"موجود","مغایرت"))</f>
        <v/>
      </c>
    </row>
    <row r="213" spans="2:3">
      <c r="B213" s="10"/>
      <c r="C213" t="str">
        <f>IF(B213="","",IF(COUNTIF(موجودی!$C$2:$C$839,"*"&amp;B213&amp;"*")&gt;0,"موجود","مغایرت"))</f>
        <v/>
      </c>
    </row>
    <row r="214" spans="2:3">
      <c r="B214" s="10"/>
      <c r="C214" t="str">
        <f>IF(B214="","",IF(COUNTIF(موجودی!$C$2:$C$839,"*"&amp;B214&amp;"*")&gt;0,"موجود","مغایرت"))</f>
        <v/>
      </c>
    </row>
    <row r="215" spans="2:3">
      <c r="B215" s="10"/>
      <c r="C215" t="str">
        <f>IF(B215="","",IF(COUNTIF(موجودی!$C$2:$C$839,"*"&amp;B215&amp;"*")&gt;0,"موجود","مغایرت"))</f>
        <v/>
      </c>
    </row>
    <row r="216" spans="2:3">
      <c r="B216" s="10"/>
      <c r="C216" t="str">
        <f>IF(B216="","",IF(COUNTIF(موجودی!$C$2:$C$839,"*"&amp;B216&amp;"*")&gt;0,"موجود","مغایرت"))</f>
        <v/>
      </c>
    </row>
    <row r="217" spans="2:3">
      <c r="B217" s="10"/>
      <c r="C217" t="str">
        <f>IF(B217="","",IF(COUNTIF(موجودی!$C$2:$C$839,"*"&amp;B217&amp;"*")&gt;0,"موجود","مغایرت"))</f>
        <v/>
      </c>
    </row>
    <row r="218" spans="2:3">
      <c r="B218" s="10"/>
      <c r="C218" t="str">
        <f>IF(B218="","",IF(COUNTIF(موجودی!$C$2:$C$839,"*"&amp;B218&amp;"*")&gt;0,"موجود","مغایرت"))</f>
        <v/>
      </c>
    </row>
    <row r="219" spans="2:3">
      <c r="B219" s="10"/>
      <c r="C219" t="str">
        <f>IF(B219="","",IF(COUNTIF(موجودی!$C$2:$C$839,"*"&amp;B219&amp;"*")&gt;0,"موجود","مغایرت"))</f>
        <v/>
      </c>
    </row>
    <row r="220" spans="2:3">
      <c r="B220" s="10"/>
      <c r="C220" t="str">
        <f>IF(B220="","",IF(COUNTIF(موجودی!$C$2:$C$839,"*"&amp;B220&amp;"*")&gt;0,"موجود","مغایرت"))</f>
        <v/>
      </c>
    </row>
    <row r="221" spans="2:3">
      <c r="B221" s="10"/>
      <c r="C221" t="str">
        <f>IF(B221="","",IF(COUNTIF(موجودی!$C$2:$C$839,"*"&amp;B221&amp;"*")&gt;0,"موجود","مغایرت"))</f>
        <v/>
      </c>
    </row>
    <row r="222" spans="2:3">
      <c r="B222" s="10"/>
      <c r="C222" t="str">
        <f>IF(B222="","",IF(COUNTIF(موجودی!$C$2:$C$839,"*"&amp;B222&amp;"*")&gt;0,"موجود","مغایرت"))</f>
        <v/>
      </c>
    </row>
    <row r="223" spans="2:3">
      <c r="B223" s="10"/>
      <c r="C223" t="str">
        <f>IF(B223="","",IF(COUNTIF(موجودی!$C$2:$C$839,"*"&amp;B223&amp;"*")&gt;0,"موجود","مغایرت"))</f>
        <v/>
      </c>
    </row>
    <row r="224" spans="2:3">
      <c r="B224" s="10"/>
      <c r="C224" t="str">
        <f>IF(B224="","",IF(COUNTIF(موجودی!$C$2:$C$839,"*"&amp;B224&amp;"*")&gt;0,"موجود","مغایرت"))</f>
        <v/>
      </c>
    </row>
    <row r="225" spans="2:3">
      <c r="B225" s="10"/>
      <c r="C225" t="str">
        <f>IF(B225="","",IF(COUNTIF(موجودی!$C$2:$C$839,"*"&amp;B225&amp;"*")&gt;0,"موجود","مغایرت"))</f>
        <v/>
      </c>
    </row>
    <row r="226" spans="2:3">
      <c r="B226" s="10"/>
      <c r="C226" t="str">
        <f>IF(B226="","",IF(COUNTIF(موجودی!$C$2:$C$839,"*"&amp;B226&amp;"*")&gt;0,"موجود","مغایرت"))</f>
        <v/>
      </c>
    </row>
    <row r="227" spans="2:3">
      <c r="B227" s="10"/>
      <c r="C227" t="str">
        <f>IF(B227="","",IF(COUNTIF(موجودی!$C$2:$C$839,"*"&amp;B227&amp;"*")&gt;0,"موجود","مغایرت"))</f>
        <v/>
      </c>
    </row>
    <row r="228" spans="2:3">
      <c r="B228" s="10"/>
      <c r="C228" t="str">
        <f>IF(B228="","",IF(COUNTIF(موجودی!$C$2:$C$839,"*"&amp;B228&amp;"*")&gt;0,"موجود","مغایرت"))</f>
        <v/>
      </c>
    </row>
    <row r="229" spans="2:3">
      <c r="B229" s="10"/>
      <c r="C229" t="str">
        <f>IF(B229="","",IF(COUNTIF(موجودی!$C$2:$C$839,"*"&amp;B229&amp;"*")&gt;0,"موجود","مغایرت"))</f>
        <v/>
      </c>
    </row>
    <row r="230" spans="2:3">
      <c r="B230" s="10"/>
      <c r="C230" t="str">
        <f>IF(B230="","",IF(COUNTIF(موجودی!$C$2:$C$839,"*"&amp;B230&amp;"*")&gt;0,"موجود","مغایرت"))</f>
        <v/>
      </c>
    </row>
    <row r="231" spans="2:3">
      <c r="B231" s="10"/>
      <c r="C231" t="str">
        <f>IF(B231="","",IF(COUNTIF(موجودی!$C$2:$C$839,"*"&amp;B231&amp;"*")&gt;0,"موجود","مغایرت"))</f>
        <v/>
      </c>
    </row>
    <row r="232" spans="2:3">
      <c r="B232" s="10"/>
      <c r="C232" t="str">
        <f>IF(B232="","",IF(COUNTIF(موجودی!$C$2:$C$839,"*"&amp;B232&amp;"*")&gt;0,"موجود","مغایرت"))</f>
        <v/>
      </c>
    </row>
    <row r="233" spans="2:3">
      <c r="B233" s="10"/>
      <c r="C233" t="str">
        <f>IF(B233="","",IF(COUNTIF(موجودی!$C$2:$C$839,"*"&amp;B233&amp;"*")&gt;0,"موجود","مغایرت"))</f>
        <v/>
      </c>
    </row>
    <row r="234" spans="2:3">
      <c r="B234" s="10"/>
      <c r="C234" t="str">
        <f>IF(B234="","",IF(COUNTIF(موجودی!$C$2:$C$839,"*"&amp;B234&amp;"*")&gt;0,"موجود","مغایرت"))</f>
        <v/>
      </c>
    </row>
    <row r="235" spans="2:3">
      <c r="B235" s="10"/>
      <c r="C235" t="str">
        <f>IF(B235="","",IF(COUNTIF(موجودی!$C$2:$C$839,"*"&amp;B235&amp;"*")&gt;0,"موجود","مغایرت"))</f>
        <v/>
      </c>
    </row>
    <row r="236" spans="2:3">
      <c r="B236" s="10"/>
      <c r="C236" t="str">
        <f>IF(B236="","",IF(COUNTIF(موجودی!$C$2:$C$839,"*"&amp;B236&amp;"*")&gt;0,"موجود","مغایرت"))</f>
        <v/>
      </c>
    </row>
    <row r="237" spans="2:3">
      <c r="B237" s="10"/>
      <c r="C237" t="str">
        <f>IF(B237="","",IF(COUNTIF(موجودی!$C$2:$C$839,"*"&amp;B237&amp;"*")&gt;0,"موجود","مغایرت"))</f>
        <v/>
      </c>
    </row>
    <row r="238" spans="2:3">
      <c r="B238" s="10"/>
      <c r="C238" t="str">
        <f>IF(B238="","",IF(COUNTIF(موجودی!$C$2:$C$839,"*"&amp;B238&amp;"*")&gt;0,"موجود","مغایرت"))</f>
        <v/>
      </c>
    </row>
    <row r="239" spans="2:3">
      <c r="B239" s="10"/>
      <c r="C239" t="str">
        <f>IF(B239="","",IF(COUNTIF(موجودی!$C$2:$C$839,"*"&amp;B239&amp;"*")&gt;0,"موجود","مغایرت"))</f>
        <v/>
      </c>
    </row>
    <row r="240" spans="2:3">
      <c r="B240" s="10"/>
      <c r="C240" t="str">
        <f>IF(B240="","",IF(COUNTIF(موجودی!$C$2:$C$839,"*"&amp;B240&amp;"*")&gt;0,"موجود","مغایرت"))</f>
        <v/>
      </c>
    </row>
    <row r="241" spans="2:3">
      <c r="B241" s="10"/>
      <c r="C241" t="str">
        <f>IF(B241="","",IF(COUNTIF(موجودی!$C$2:$C$839,"*"&amp;B241&amp;"*")&gt;0,"موجود","مغایرت"))</f>
        <v/>
      </c>
    </row>
    <row r="242" spans="2:3">
      <c r="B242" s="10"/>
      <c r="C242" t="str">
        <f>IF(B242="","",IF(COUNTIF(موجودی!$C$2:$C$839,"*"&amp;B242&amp;"*")&gt;0,"موجود","مغایرت"))</f>
        <v/>
      </c>
    </row>
    <row r="243" spans="2:3">
      <c r="B243" s="10"/>
      <c r="C243" t="str">
        <f>IF(B243="","",IF(COUNTIF(موجودی!$C$2:$C$839,"*"&amp;B243&amp;"*")&gt;0,"موجود","مغایرت"))</f>
        <v/>
      </c>
    </row>
    <row r="244" spans="2:3">
      <c r="B244" s="10"/>
      <c r="C244" t="str">
        <f>IF(B244="","",IF(COUNTIF(موجودی!$C$2:$C$839,"*"&amp;B244&amp;"*")&gt;0,"موجود","مغایرت"))</f>
        <v/>
      </c>
    </row>
    <row r="245" spans="2:3">
      <c r="B245" s="10"/>
      <c r="C245" t="str">
        <f>IF(B245="","",IF(COUNTIF(موجودی!$C$2:$C$839,"*"&amp;B245&amp;"*")&gt;0,"موجود","مغایرت"))</f>
        <v/>
      </c>
    </row>
    <row r="246" spans="2:3">
      <c r="B246" s="10"/>
      <c r="C246" t="str">
        <f>IF(B246="","",IF(COUNTIF(موجودی!$C$2:$C$839,"*"&amp;B246&amp;"*")&gt;0,"موجود","مغایرت"))</f>
        <v/>
      </c>
    </row>
    <row r="247" spans="2:3">
      <c r="B247" s="10"/>
      <c r="C247" t="str">
        <f>IF(B247="","",IF(COUNTIF(موجودی!$C$2:$C$839,"*"&amp;B247&amp;"*")&gt;0,"موجود","مغایرت"))</f>
        <v/>
      </c>
    </row>
    <row r="248" spans="2:3">
      <c r="B248" s="10"/>
      <c r="C248" t="str">
        <f>IF(B248="","",IF(COUNTIF(موجودی!$C$2:$C$839,"*"&amp;B248&amp;"*")&gt;0,"موجود","مغایرت"))</f>
        <v/>
      </c>
    </row>
    <row r="249" spans="2:3">
      <c r="B249" s="10"/>
      <c r="C249" t="str">
        <f>IF(B249="","",IF(COUNTIF(موجودی!$C$2:$C$839,"*"&amp;B249&amp;"*")&gt;0,"موجود","مغایرت"))</f>
        <v/>
      </c>
    </row>
    <row r="250" spans="2:3">
      <c r="B250" s="10"/>
      <c r="C250" t="str">
        <f>IF(B250="","",IF(COUNTIF(موجودی!$C$2:$C$839,"*"&amp;B250&amp;"*")&gt;0,"موجود","مغایرت"))</f>
        <v/>
      </c>
    </row>
    <row r="251" spans="2:3">
      <c r="B251" s="10"/>
      <c r="C251" t="str">
        <f>IF(B251="","",IF(COUNTIF(موجودی!$C$2:$C$839,"*"&amp;B251&amp;"*")&gt;0,"موجود","مغایرت"))</f>
        <v/>
      </c>
    </row>
    <row r="252" spans="2:3">
      <c r="B252" s="10"/>
      <c r="C252" t="str">
        <f>IF(B252="","",IF(COUNTIF(موجودی!$C$2:$C$839,"*"&amp;B252&amp;"*")&gt;0,"موجود","مغایرت"))</f>
        <v/>
      </c>
    </row>
    <row r="253" spans="2:3">
      <c r="B253" s="10"/>
      <c r="C253" t="str">
        <f>IF(B253="","",IF(COUNTIF(موجودی!$C$2:$C$839,"*"&amp;B253&amp;"*")&gt;0,"موجود","مغایرت"))</f>
        <v/>
      </c>
    </row>
    <row r="254" spans="2:3">
      <c r="B254" s="10"/>
      <c r="C254" t="str">
        <f>IF(B254="","",IF(COUNTIF(موجودی!$C$2:$C$839,"*"&amp;B254&amp;"*")&gt;0,"موجود","مغایرت"))</f>
        <v/>
      </c>
    </row>
    <row r="255" spans="2:3">
      <c r="B255" s="10"/>
      <c r="C255" t="str">
        <f>IF(B255="","",IF(COUNTIF(موجودی!$C$2:$C$839,"*"&amp;B255&amp;"*")&gt;0,"موجود","مغایرت"))</f>
        <v/>
      </c>
    </row>
    <row r="256" spans="2:3">
      <c r="B256" s="10"/>
      <c r="C256" t="str">
        <f>IF(B256="","",IF(COUNTIF(موجودی!$C$2:$C$839,"*"&amp;B256&amp;"*")&gt;0,"موجود","مغایرت"))</f>
        <v/>
      </c>
    </row>
    <row r="257" spans="2:3">
      <c r="B257" s="10"/>
      <c r="C257" t="str">
        <f>IF(B257="","",IF(COUNTIF(موجودی!$C$2:$C$839,"*"&amp;B257&amp;"*")&gt;0,"موجود","مغایرت"))</f>
        <v/>
      </c>
    </row>
    <row r="258" spans="2:3">
      <c r="B258" s="10"/>
      <c r="C258" t="str">
        <f>IF(B258="","",IF(COUNTIF(موجودی!$C$2:$C$839,"*"&amp;B258&amp;"*")&gt;0,"موجود","مغایرت"))</f>
        <v/>
      </c>
    </row>
    <row r="259" spans="2:3">
      <c r="B259" s="10"/>
      <c r="C259" t="str">
        <f>IF(B259="","",IF(COUNTIF(موجودی!$C$2:$C$839,"*"&amp;B259&amp;"*")&gt;0,"موجود","مغایرت"))</f>
        <v/>
      </c>
    </row>
    <row r="260" spans="2:3">
      <c r="B260" s="10"/>
      <c r="C260" t="str">
        <f>IF(B260="","",IF(COUNTIF(موجودی!$C$2:$C$839,"*"&amp;B260&amp;"*")&gt;0,"موجود","مغایرت"))</f>
        <v/>
      </c>
    </row>
    <row r="261" spans="2:3">
      <c r="B261" s="10"/>
      <c r="C261" t="str">
        <f>IF(B261="","",IF(COUNTIF(موجودی!$C$2:$C$839,"*"&amp;B261&amp;"*")&gt;0,"موجود","مغایرت"))</f>
        <v/>
      </c>
    </row>
    <row r="262" spans="2:3">
      <c r="B262" s="10"/>
      <c r="C262" t="str">
        <f>IF(B262="","",IF(COUNTIF(موجودی!$C$2:$C$839,"*"&amp;B262&amp;"*")&gt;0,"موجود","مغایرت"))</f>
        <v/>
      </c>
    </row>
    <row r="263" spans="2:3">
      <c r="B263" s="10"/>
      <c r="C263" t="str">
        <f>IF(B263="","",IF(COUNTIF(موجودی!$C$2:$C$839,"*"&amp;B263&amp;"*")&gt;0,"موجود","مغایرت"))</f>
        <v/>
      </c>
    </row>
    <row r="264" spans="2:3">
      <c r="B264" s="10"/>
      <c r="C264" t="str">
        <f>IF(B264="","",IF(COUNTIF(موجودی!$C$2:$C$839,"*"&amp;B264&amp;"*")&gt;0,"موجود","مغایرت"))</f>
        <v/>
      </c>
    </row>
    <row r="265" spans="2:3">
      <c r="B265" s="10"/>
      <c r="C265" t="str">
        <f>IF(B265="","",IF(COUNTIF(موجودی!$C$2:$C$839,"*"&amp;B265&amp;"*")&gt;0,"موجود","مغایرت"))</f>
        <v/>
      </c>
    </row>
    <row r="266" spans="2:3">
      <c r="B266" s="10"/>
      <c r="C266" t="str">
        <f>IF(B266="","",IF(COUNTIF(موجودی!$C$2:$C$839,"*"&amp;B266&amp;"*")&gt;0,"موجود","مغایرت"))</f>
        <v/>
      </c>
    </row>
    <row r="267" spans="2:3">
      <c r="B267" s="10"/>
      <c r="C267" t="str">
        <f>IF(B267="","",IF(COUNTIF(موجودی!$C$2:$C$839,"*"&amp;B267&amp;"*")&gt;0,"موجود","مغایرت"))</f>
        <v/>
      </c>
    </row>
    <row r="268" spans="2:3">
      <c r="B268" s="10"/>
      <c r="C268" t="str">
        <f>IF(B268="","",IF(COUNTIF(موجودی!$C$2:$C$839,"*"&amp;B268&amp;"*")&gt;0,"موجود","مغایرت"))</f>
        <v/>
      </c>
    </row>
    <row r="269" spans="2:3">
      <c r="B269" s="10"/>
      <c r="C269" t="str">
        <f>IF(B269="","",IF(COUNTIF(موجودی!$C$2:$C$839,"*"&amp;B269&amp;"*")&gt;0,"موجود","مغایرت"))</f>
        <v/>
      </c>
    </row>
    <row r="270" spans="2:3">
      <c r="B270" s="10"/>
      <c r="C270" t="str">
        <f>IF(B270="","",IF(COUNTIF(موجودی!$C$2:$C$839,"*"&amp;B270&amp;"*")&gt;0,"موجود","مغایرت"))</f>
        <v/>
      </c>
    </row>
    <row r="271" spans="2:3">
      <c r="B271" s="10"/>
      <c r="C271" t="str">
        <f>IF(B271="","",IF(COUNTIF(موجودی!$C$2:$C$839,"*"&amp;B271&amp;"*")&gt;0,"موجود","مغایرت"))</f>
        <v/>
      </c>
    </row>
    <row r="272" spans="2:3">
      <c r="B272" s="10"/>
      <c r="C272" t="str">
        <f>IF(B272="","",IF(COUNTIF(موجودی!$C$2:$C$839,"*"&amp;B272&amp;"*")&gt;0,"موجود","مغایرت"))</f>
        <v/>
      </c>
    </row>
    <row r="273" spans="2:3">
      <c r="B273" s="10"/>
      <c r="C273" t="str">
        <f>IF(B273="","",IF(COUNTIF(موجودی!$C$2:$C$839,"*"&amp;B273&amp;"*")&gt;0,"موجود","مغایرت"))</f>
        <v/>
      </c>
    </row>
    <row r="274" spans="2:3">
      <c r="B274" s="10"/>
      <c r="C274" t="str">
        <f>IF(B274="","",IF(COUNTIF(موجودی!$C$2:$C$839,"*"&amp;B274&amp;"*")&gt;0,"موجود","مغایرت"))</f>
        <v/>
      </c>
    </row>
    <row r="275" spans="2:3">
      <c r="B275" s="10"/>
      <c r="C275" t="str">
        <f>IF(B275="","",IF(COUNTIF(موجودی!$C$2:$C$839,"*"&amp;B275&amp;"*")&gt;0,"موجود","مغایرت"))</f>
        <v/>
      </c>
    </row>
    <row r="276" spans="2:3">
      <c r="B276" s="10"/>
      <c r="C276" t="str">
        <f>IF(B276="","",IF(COUNTIF(موجودی!$C$2:$C$839,"*"&amp;B276&amp;"*")&gt;0,"موجود","مغایرت"))</f>
        <v/>
      </c>
    </row>
    <row r="277" spans="2:3">
      <c r="B277" s="10"/>
      <c r="C277" t="str">
        <f>IF(B277="","",IF(COUNTIF(موجودی!$C$2:$C$839,"*"&amp;B277&amp;"*")&gt;0,"موجود","مغایرت"))</f>
        <v/>
      </c>
    </row>
    <row r="278" spans="2:3">
      <c r="B278" s="10"/>
      <c r="C278" t="str">
        <f>IF(B278="","",IF(COUNTIF(موجودی!$C$2:$C$839,"*"&amp;B278&amp;"*")&gt;0,"موجود","مغایرت"))</f>
        <v/>
      </c>
    </row>
    <row r="279" spans="2:3">
      <c r="B279" s="10"/>
      <c r="C279" t="str">
        <f>IF(B279="","",IF(COUNTIF(موجودی!$C$2:$C$839,"*"&amp;B279&amp;"*")&gt;0,"موجود","مغایرت"))</f>
        <v/>
      </c>
    </row>
    <row r="280" spans="2:3">
      <c r="B280" s="10"/>
      <c r="C280" t="str">
        <f>IF(B280="","",IF(COUNTIF(موجودی!$C$2:$C$839,"*"&amp;B280&amp;"*")&gt;0,"موجود","مغایرت"))</f>
        <v/>
      </c>
    </row>
    <row r="281" spans="2:3">
      <c r="B281" s="10"/>
      <c r="C281" t="str">
        <f>IF(B281="","",IF(COUNTIF(موجودی!$C$2:$C$839,"*"&amp;B281&amp;"*")&gt;0,"موجود","مغایرت"))</f>
        <v/>
      </c>
    </row>
    <row r="282" spans="2:3">
      <c r="B282" s="10"/>
      <c r="C282" t="str">
        <f>IF(B282="","",IF(COUNTIF(موجودی!$C$2:$C$839,"*"&amp;B282&amp;"*")&gt;0,"موجود","مغایرت"))</f>
        <v/>
      </c>
    </row>
    <row r="283" spans="2:3">
      <c r="B283" s="10"/>
      <c r="C283" t="str">
        <f>IF(B283="","",IF(COUNTIF(موجودی!$C$2:$C$839,"*"&amp;B283&amp;"*")&gt;0,"موجود","مغایرت"))</f>
        <v/>
      </c>
    </row>
    <row r="284" spans="2:3">
      <c r="B284" s="10"/>
      <c r="C284" t="str">
        <f>IF(B284="","",IF(COUNTIF(موجودی!$C$2:$C$839,"*"&amp;B284&amp;"*")&gt;0,"موجود","مغایرت"))</f>
        <v/>
      </c>
    </row>
    <row r="285" spans="2:3">
      <c r="B285" s="10"/>
      <c r="C285" t="str">
        <f>IF(B285="","",IF(COUNTIF(موجودی!$C$2:$C$839,"*"&amp;B285&amp;"*")&gt;0,"موجود","مغایرت"))</f>
        <v/>
      </c>
    </row>
    <row r="286" spans="2:3">
      <c r="B286" s="10"/>
      <c r="C286" t="str">
        <f>IF(B286="","",IF(COUNTIF(موجودی!$C$2:$C$839,"*"&amp;B286&amp;"*")&gt;0,"موجود","مغایرت"))</f>
        <v/>
      </c>
    </row>
    <row r="287" spans="2:3">
      <c r="B287" s="10"/>
      <c r="C287" t="str">
        <f>IF(B287="","",IF(COUNTIF(موجودی!$C$2:$C$839,"*"&amp;B287&amp;"*")&gt;0,"موجود","مغایرت"))</f>
        <v/>
      </c>
    </row>
    <row r="288" spans="2:3">
      <c r="B288" s="10"/>
      <c r="C288" t="str">
        <f>IF(B288="","",IF(COUNTIF(موجودی!$C$2:$C$839,"*"&amp;B288&amp;"*")&gt;0,"موجود","مغایرت"))</f>
        <v/>
      </c>
    </row>
    <row r="289" spans="2:3">
      <c r="B289" s="10"/>
      <c r="C289" t="str">
        <f>IF(B289="","",IF(COUNTIF(موجودی!$C$2:$C$839,"*"&amp;B289&amp;"*")&gt;0,"موجود","مغایرت"))</f>
        <v/>
      </c>
    </row>
    <row r="290" spans="2:3">
      <c r="B290" s="10"/>
      <c r="C290" t="str">
        <f>IF(B290="","",IF(COUNTIF(موجودی!$C$2:$C$839,"*"&amp;B290&amp;"*")&gt;0,"موجود","مغایرت"))</f>
        <v/>
      </c>
    </row>
    <row r="291" spans="2:3">
      <c r="B291" s="10"/>
      <c r="C291" t="str">
        <f>IF(B291="","",IF(COUNTIF(موجودی!$C$2:$C$839,"*"&amp;B291&amp;"*")&gt;0,"موجود","مغایرت"))</f>
        <v/>
      </c>
    </row>
    <row r="292" spans="2:3">
      <c r="B292" s="10"/>
      <c r="C292" t="str">
        <f>IF(B292="","",IF(COUNTIF(موجودی!$C$2:$C$839,"*"&amp;B292&amp;"*")&gt;0,"موجود","مغایرت"))</f>
        <v/>
      </c>
    </row>
    <row r="293" spans="2:3">
      <c r="B293" s="10"/>
      <c r="C293" t="str">
        <f>IF(B293="","",IF(COUNTIF(موجودی!$C$2:$C$839,"*"&amp;B293&amp;"*")&gt;0,"موجود","مغایرت"))</f>
        <v/>
      </c>
    </row>
    <row r="294" spans="2:3">
      <c r="B294" s="10"/>
      <c r="C294" t="str">
        <f>IF(B294="","",IF(COUNTIF(موجودی!$C$2:$C$839,"*"&amp;B294&amp;"*")&gt;0,"موجود","مغایرت"))</f>
        <v/>
      </c>
    </row>
    <row r="295" spans="2:3">
      <c r="B295" s="10"/>
      <c r="C295" t="str">
        <f>IF(B295="","",IF(COUNTIF(موجودی!$C$2:$C$839,"*"&amp;B295&amp;"*")&gt;0,"موجود","مغایرت"))</f>
        <v/>
      </c>
    </row>
    <row r="296" spans="2:3">
      <c r="B296" s="10"/>
      <c r="C296" t="str">
        <f>IF(B296="","",IF(COUNTIF(موجودی!$C$2:$C$839,"*"&amp;B296&amp;"*")&gt;0,"موجود","مغایرت"))</f>
        <v/>
      </c>
    </row>
    <row r="297" spans="2:3">
      <c r="B297" s="10"/>
      <c r="C297" t="str">
        <f>IF(B297="","",IF(COUNTIF(موجودی!$C$2:$C$839,"*"&amp;B297&amp;"*")&gt;0,"موجود","مغایرت"))</f>
        <v/>
      </c>
    </row>
    <row r="298" spans="2:3">
      <c r="B298" s="10"/>
      <c r="C298" t="str">
        <f>IF(B298="","",IF(COUNTIF(موجودی!$C$2:$C$839,"*"&amp;B298&amp;"*")&gt;0,"موجود","مغایرت"))</f>
        <v/>
      </c>
    </row>
    <row r="299" spans="2:3">
      <c r="B299" s="10"/>
      <c r="C299" t="str">
        <f>IF(B299="","",IF(COUNTIF(موجودی!$C$2:$C$839,"*"&amp;B299&amp;"*")&gt;0,"موجود","مغایرت"))</f>
        <v/>
      </c>
    </row>
    <row r="300" spans="2:3">
      <c r="B300" s="10"/>
      <c r="C300" t="str">
        <f>IF(B300="","",IF(COUNTIF(موجودی!$C$2:$C$839,"*"&amp;B300&amp;"*")&gt;0,"موجود","مغایرت"))</f>
        <v/>
      </c>
    </row>
    <row r="301" spans="2:3">
      <c r="B301" s="10"/>
      <c r="C301" t="str">
        <f>IF(B301="","",IF(COUNTIF(موجودی!$C$2:$C$839,"*"&amp;B301&amp;"*")&gt;0,"موجود","مغایرت"))</f>
        <v/>
      </c>
    </row>
    <row r="302" spans="2:3">
      <c r="B302" s="10"/>
      <c r="C302" t="str">
        <f>IF(B302="","",IF(COUNTIF(موجودی!$C$2:$C$839,"*"&amp;B302&amp;"*")&gt;0,"موجود","مغایرت"))</f>
        <v/>
      </c>
    </row>
    <row r="303" spans="2:3">
      <c r="B303" s="10"/>
      <c r="C303" t="str">
        <f>IF(B303="","",IF(COUNTIF(موجودی!$C$2:$C$839,"*"&amp;B303&amp;"*")&gt;0,"موجود","مغایرت"))</f>
        <v/>
      </c>
    </row>
    <row r="304" spans="2:3">
      <c r="B304" s="10"/>
      <c r="C304" t="str">
        <f>IF(B304="","",IF(COUNTIF(موجودی!$C$2:$C$839,"*"&amp;B304&amp;"*")&gt;0,"موجود","مغایرت"))</f>
        <v/>
      </c>
    </row>
    <row r="305" spans="2:3">
      <c r="B305" s="10"/>
      <c r="C305" t="str">
        <f>IF(B305="","",IF(COUNTIF(موجودی!$C$2:$C$839,"*"&amp;B305&amp;"*")&gt;0,"موجود","مغایرت"))</f>
        <v/>
      </c>
    </row>
    <row r="306" spans="2:3">
      <c r="B306" s="10"/>
      <c r="C306" t="str">
        <f>IF(B306="","",IF(COUNTIF(موجودی!$C$2:$C$839,"*"&amp;B306&amp;"*")&gt;0,"موجود","مغایرت"))</f>
        <v/>
      </c>
    </row>
    <row r="307" spans="2:3">
      <c r="B307" s="10"/>
      <c r="C307" t="str">
        <f>IF(B307="","",IF(COUNTIF(موجودی!$C$2:$C$839,"*"&amp;B307&amp;"*")&gt;0,"موجود","مغایرت"))</f>
        <v/>
      </c>
    </row>
    <row r="308" spans="2:3">
      <c r="B308" s="10"/>
      <c r="C308" t="str">
        <f>IF(B308="","",IF(COUNTIF(موجودی!$C$2:$C$839,"*"&amp;B308&amp;"*")&gt;0,"موجود","مغایرت"))</f>
        <v/>
      </c>
    </row>
    <row r="309" spans="2:3">
      <c r="B309" s="10"/>
      <c r="C309" t="str">
        <f>IF(B309="","",IF(COUNTIF(موجودی!$C$2:$C$839,"*"&amp;B309&amp;"*")&gt;0,"موجود","مغایرت"))</f>
        <v/>
      </c>
    </row>
    <row r="310" spans="2:3">
      <c r="B310" s="10"/>
      <c r="C310" t="str">
        <f>IF(B310="","",IF(COUNTIF(موجودی!$C$2:$C$839,"*"&amp;B310&amp;"*")&gt;0,"موجود","مغایرت"))</f>
        <v/>
      </c>
    </row>
    <row r="311" spans="2:3">
      <c r="B311" s="10"/>
      <c r="C311" t="str">
        <f>IF(B311="","",IF(COUNTIF(موجودی!$C$2:$C$839,"*"&amp;B311&amp;"*")&gt;0,"موجود","مغایرت"))</f>
        <v/>
      </c>
    </row>
    <row r="312" spans="2:3">
      <c r="B312" s="10"/>
      <c r="C312" t="str">
        <f>IF(B312="","",IF(COUNTIF(موجودی!$C$2:$C$839,"*"&amp;B312&amp;"*")&gt;0,"موجود","مغایرت"))</f>
        <v/>
      </c>
    </row>
    <row r="313" spans="2:3">
      <c r="B313" s="10"/>
      <c r="C313" t="str">
        <f>IF(B313="","",IF(COUNTIF(موجودی!$C$2:$C$839,"*"&amp;B313&amp;"*")&gt;0,"موجود","مغایرت"))</f>
        <v/>
      </c>
    </row>
    <row r="314" spans="2:3">
      <c r="B314" s="10"/>
      <c r="C314" t="str">
        <f>IF(B314="","",IF(COUNTIF(موجودی!$C$2:$C$839,"*"&amp;B314&amp;"*")&gt;0,"موجود","مغایرت"))</f>
        <v/>
      </c>
    </row>
    <row r="315" spans="2:3">
      <c r="B315" s="10"/>
      <c r="C315" t="str">
        <f>IF(B315="","",IF(COUNTIF(موجودی!$C$2:$C$839,"*"&amp;B315&amp;"*")&gt;0,"موجود","مغایرت"))</f>
        <v/>
      </c>
    </row>
    <row r="316" spans="2:3">
      <c r="B316" s="10"/>
      <c r="C316" t="str">
        <f>IF(B316="","",IF(COUNTIF(موجودی!$C$2:$C$839,"*"&amp;B316&amp;"*")&gt;0,"موجود","مغایرت"))</f>
        <v/>
      </c>
    </row>
    <row r="317" spans="2:3">
      <c r="B317" s="10"/>
      <c r="C317" t="str">
        <f>IF(B317="","",IF(COUNTIF(موجودی!$C$2:$C$839,"*"&amp;B317&amp;"*")&gt;0,"موجود","مغایرت"))</f>
        <v/>
      </c>
    </row>
    <row r="318" spans="2:3">
      <c r="B318" s="10"/>
      <c r="C318" t="str">
        <f>IF(B318="","",IF(COUNTIF(موجودی!$C$2:$C$839,"*"&amp;B318&amp;"*")&gt;0,"موجود","مغایرت"))</f>
        <v/>
      </c>
    </row>
    <row r="319" spans="2:3">
      <c r="B319" s="10"/>
      <c r="C319" t="str">
        <f>IF(B319="","",IF(COUNTIF(موجودی!$C$2:$C$839,"*"&amp;B319&amp;"*")&gt;0,"موجود","مغایرت"))</f>
        <v/>
      </c>
    </row>
    <row r="320" spans="2:3">
      <c r="B320" s="10"/>
      <c r="C320" t="str">
        <f>IF(B320="","",IF(COUNTIF(موجودی!$C$2:$C$839,"*"&amp;B320&amp;"*")&gt;0,"موجود","مغایرت"))</f>
        <v/>
      </c>
    </row>
    <row r="321" spans="2:3">
      <c r="B321" s="10"/>
      <c r="C321" t="str">
        <f>IF(B321="","",IF(COUNTIF(موجودی!$C$2:$C$839,"*"&amp;B321&amp;"*")&gt;0,"موجود","مغایرت"))</f>
        <v/>
      </c>
    </row>
    <row r="322" spans="2:3">
      <c r="B322" s="10"/>
      <c r="C322" t="str">
        <f>IF(B322="","",IF(COUNTIF(موجودی!$C$2:$C$839,"*"&amp;B322&amp;"*")&gt;0,"موجود","مغایرت"))</f>
        <v/>
      </c>
    </row>
    <row r="323" spans="2:3">
      <c r="B323" s="10"/>
      <c r="C323" t="str">
        <f>IF(B323="","",IF(COUNTIF(موجودی!$C$2:$C$839,"*"&amp;B323&amp;"*")&gt;0,"موجود","مغایرت"))</f>
        <v/>
      </c>
    </row>
    <row r="324" spans="2:3">
      <c r="B324" s="10"/>
      <c r="C324" t="str">
        <f>IF(B324="","",IF(COUNTIF(موجودی!$C$2:$C$839,"*"&amp;B324&amp;"*")&gt;0,"موجود","مغایرت"))</f>
        <v/>
      </c>
    </row>
    <row r="325" spans="2:3">
      <c r="B325" s="10"/>
      <c r="C325" t="str">
        <f>IF(B325="","",IF(COUNTIF(موجودی!$C$2:$C$839,"*"&amp;B325&amp;"*")&gt;0,"موجود","مغایرت"))</f>
        <v/>
      </c>
    </row>
    <row r="326" spans="2:3">
      <c r="B326" s="10"/>
      <c r="C326" t="str">
        <f>IF(B326="","",IF(COUNTIF(موجودی!$C$2:$C$839,"*"&amp;B326&amp;"*")&gt;0,"موجود","مغایرت"))</f>
        <v/>
      </c>
    </row>
    <row r="327" spans="2:3">
      <c r="B327" s="10"/>
      <c r="C327" t="str">
        <f>IF(B327="","",IF(COUNTIF(موجودی!$C$2:$C$839,"*"&amp;B327&amp;"*")&gt;0,"موجود","مغایرت"))</f>
        <v/>
      </c>
    </row>
    <row r="328" spans="2:3">
      <c r="B328" s="10"/>
      <c r="C328" t="str">
        <f>IF(B328="","",IF(COUNTIF(موجودی!$C$2:$C$839,"*"&amp;B328&amp;"*")&gt;0,"موجود","مغایرت"))</f>
        <v/>
      </c>
    </row>
    <row r="329" spans="2:3">
      <c r="B329" s="10"/>
      <c r="C329" t="str">
        <f>IF(B329="","",IF(COUNTIF(موجودی!$C$2:$C$839,"*"&amp;B329&amp;"*")&gt;0,"موجود","مغایرت"))</f>
        <v/>
      </c>
    </row>
    <row r="330" spans="2:3">
      <c r="B330" s="10"/>
      <c r="C330" t="str">
        <f>IF(B330="","",IF(COUNTIF(موجودی!$C$2:$C$839,"*"&amp;B330&amp;"*")&gt;0,"موجود","مغایرت"))</f>
        <v/>
      </c>
    </row>
    <row r="331" spans="2:3">
      <c r="B331" s="10"/>
      <c r="C331" t="str">
        <f>IF(B331="","",IF(COUNTIF(موجودی!$C$2:$C$839,"*"&amp;B331&amp;"*")&gt;0,"موجود","مغایرت"))</f>
        <v/>
      </c>
    </row>
    <row r="332" spans="2:3">
      <c r="B332" s="10"/>
      <c r="C332" t="str">
        <f>IF(B332="","",IF(COUNTIF(موجودی!$C$2:$C$839,"*"&amp;B332&amp;"*")&gt;0,"موجود","مغایرت"))</f>
        <v/>
      </c>
    </row>
    <row r="333" spans="2:3">
      <c r="B333" s="10"/>
      <c r="C333" t="str">
        <f>IF(B333="","",IF(COUNTIF(موجودی!$C$2:$C$839,"*"&amp;B333&amp;"*")&gt;0,"موجود","مغایرت"))</f>
        <v/>
      </c>
    </row>
    <row r="334" spans="2:3">
      <c r="B334" s="10"/>
      <c r="C334" t="str">
        <f>IF(B334="","",IF(COUNTIF(موجودی!$C$2:$C$839,"*"&amp;B334&amp;"*")&gt;0,"موجود","مغایرت"))</f>
        <v/>
      </c>
    </row>
    <row r="335" spans="2:3">
      <c r="B335" s="10"/>
      <c r="C335" t="str">
        <f>IF(B335="","",IF(COUNTIF(موجودی!$C$2:$C$839,"*"&amp;B335&amp;"*")&gt;0,"موجود","مغایرت"))</f>
        <v/>
      </c>
    </row>
    <row r="336" spans="2:3">
      <c r="B336" s="10"/>
      <c r="C336" t="str">
        <f>IF(B336="","",IF(COUNTIF(موجودی!$C$2:$C$839,"*"&amp;B336&amp;"*")&gt;0,"موجود","مغایرت"))</f>
        <v/>
      </c>
    </row>
    <row r="337" spans="2:3">
      <c r="B337" s="10"/>
      <c r="C337" t="str">
        <f>IF(B337="","",IF(COUNTIF(موجودی!$C$2:$C$839,"*"&amp;B337&amp;"*")&gt;0,"موجود","مغایرت"))</f>
        <v/>
      </c>
    </row>
    <row r="338" spans="2:3">
      <c r="B338" s="10"/>
      <c r="C338" t="str">
        <f>IF(B338="","",IF(COUNTIF(موجودی!$C$2:$C$839,"*"&amp;B338&amp;"*")&gt;0,"موجود","مغایرت"))</f>
        <v/>
      </c>
    </row>
    <row r="339" spans="2:3">
      <c r="B339" s="10"/>
      <c r="C339" t="str">
        <f>IF(B339="","",IF(COUNTIF(موجودی!$C$2:$C$839,"*"&amp;B339&amp;"*")&gt;0,"موجود","مغایرت"))</f>
        <v/>
      </c>
    </row>
    <row r="340" spans="2:3">
      <c r="B340" s="10"/>
      <c r="C340" t="str">
        <f>IF(B340="","",IF(COUNTIF(موجودی!$C$2:$C$839,"*"&amp;B340&amp;"*")&gt;0,"موجود","مغایرت"))</f>
        <v/>
      </c>
    </row>
    <row r="341" spans="2:3">
      <c r="B341" s="10"/>
      <c r="C341" t="str">
        <f>IF(B341="","",IF(COUNTIF(موجودی!$C$2:$C$839,"*"&amp;B341&amp;"*")&gt;0,"موجود","مغایرت"))</f>
        <v/>
      </c>
    </row>
    <row r="342" spans="2:3">
      <c r="B342" s="10"/>
      <c r="C342" t="str">
        <f>IF(B342="","",IF(COUNTIF(موجودی!$C$2:$C$839,"*"&amp;B342&amp;"*")&gt;0,"موجود","مغایرت"))</f>
        <v/>
      </c>
    </row>
    <row r="343" spans="2:3">
      <c r="B343" s="10"/>
      <c r="C343" t="str">
        <f>IF(B343="","",IF(COUNTIF(موجودی!$C$2:$C$839,"*"&amp;B343&amp;"*")&gt;0,"موجود","مغایرت"))</f>
        <v/>
      </c>
    </row>
    <row r="344" spans="2:3">
      <c r="B344" s="10"/>
      <c r="C344" t="str">
        <f>IF(B344="","",IF(COUNTIF(موجودی!$C$2:$C$839,"*"&amp;B344&amp;"*")&gt;0,"موجود","مغایرت"))</f>
        <v/>
      </c>
    </row>
    <row r="345" spans="2:3">
      <c r="B345" s="10"/>
      <c r="C345" t="str">
        <f>IF(B345="","",IF(COUNTIF(موجودی!$C$2:$C$839,"*"&amp;B345&amp;"*")&gt;0,"موجود","مغایرت"))</f>
        <v/>
      </c>
    </row>
    <row r="346" spans="2:3">
      <c r="B346" s="10"/>
      <c r="C346" t="str">
        <f>IF(B346="","",IF(COUNTIF(موجودی!$C$2:$C$839,"*"&amp;B346&amp;"*")&gt;0,"موجود","مغایرت"))</f>
        <v/>
      </c>
    </row>
    <row r="347" spans="2:3">
      <c r="B347" s="10"/>
      <c r="C347" t="str">
        <f>IF(B347="","",IF(COUNTIF(موجودی!$C$2:$C$839,"*"&amp;B347&amp;"*")&gt;0,"موجود","مغایرت"))</f>
        <v/>
      </c>
    </row>
    <row r="348" spans="2:3">
      <c r="B348" s="10"/>
      <c r="C348" t="str">
        <f>IF(B348="","",IF(COUNTIF(موجودی!$C$2:$C$839,"*"&amp;B348&amp;"*")&gt;0,"موجود","مغایرت"))</f>
        <v/>
      </c>
    </row>
    <row r="349" spans="2:3">
      <c r="B349" s="10"/>
      <c r="C349" t="str">
        <f>IF(B349="","",IF(COUNTIF(موجودی!$C$2:$C$839,"*"&amp;B349&amp;"*")&gt;0,"موجود","مغایرت"))</f>
        <v/>
      </c>
    </row>
    <row r="350" spans="2:3">
      <c r="B350" s="10"/>
      <c r="C350" t="str">
        <f>IF(B350="","",IF(COUNTIF(موجودی!$C$2:$C$839,"*"&amp;B350&amp;"*")&gt;0,"موجود","مغایرت"))</f>
        <v/>
      </c>
    </row>
    <row r="351" spans="2:3">
      <c r="B351" s="10"/>
      <c r="C351" t="str">
        <f>IF(B351="","",IF(COUNTIF(موجودی!$C$2:$C$839,"*"&amp;B351&amp;"*")&gt;0,"موجود","مغایرت"))</f>
        <v/>
      </c>
    </row>
    <row r="352" spans="2:3">
      <c r="B352" s="10"/>
      <c r="C352" t="str">
        <f>IF(B352="","",IF(COUNTIF(موجودی!$C$2:$C$839,"*"&amp;B352&amp;"*")&gt;0,"موجود","مغایرت"))</f>
        <v/>
      </c>
    </row>
    <row r="353" spans="2:3">
      <c r="B353" s="10"/>
      <c r="C353" t="str">
        <f>IF(B353="","",IF(COUNTIF(موجودی!$C$2:$C$839,"*"&amp;B353&amp;"*")&gt;0,"موجود","مغایرت"))</f>
        <v/>
      </c>
    </row>
    <row r="354" spans="2:3">
      <c r="B354" s="10"/>
      <c r="C354" t="str">
        <f>IF(B354="","",IF(COUNTIF(موجودی!$C$2:$C$839,"*"&amp;B354&amp;"*")&gt;0,"موجود","مغایرت"))</f>
        <v/>
      </c>
    </row>
    <row r="355" spans="2:3">
      <c r="B355" s="10"/>
      <c r="C355" t="str">
        <f>IF(B355="","",IF(COUNTIF(موجودی!$C$2:$C$839,"*"&amp;B355&amp;"*")&gt;0,"موجود","مغایرت"))</f>
        <v/>
      </c>
    </row>
    <row r="356" spans="2:3">
      <c r="B356" s="10"/>
      <c r="C356" t="str">
        <f>IF(B356="","",IF(COUNTIF(موجودی!$C$2:$C$839,"*"&amp;B356&amp;"*")&gt;0,"موجود","مغایرت"))</f>
        <v/>
      </c>
    </row>
    <row r="357" spans="2:3">
      <c r="B357" s="10"/>
      <c r="C357" t="str">
        <f>IF(B357="","",IF(COUNTIF(موجودی!$C$2:$C$839,"*"&amp;B357&amp;"*")&gt;0,"موجود","مغایرت"))</f>
        <v/>
      </c>
    </row>
    <row r="358" spans="2:3">
      <c r="B358" s="10"/>
      <c r="C358" t="str">
        <f>IF(B358="","",IF(COUNTIF(موجودی!$C$2:$C$839,"*"&amp;B358&amp;"*")&gt;0,"موجود","مغایرت"))</f>
        <v/>
      </c>
    </row>
    <row r="359" spans="2:3">
      <c r="B359" s="10"/>
      <c r="C359" t="str">
        <f>IF(B359="","",IF(COUNTIF(موجودی!$C$2:$C$839,"*"&amp;B359&amp;"*")&gt;0,"موجود","مغایرت"))</f>
        <v/>
      </c>
    </row>
    <row r="360" spans="2:3">
      <c r="B360" s="10"/>
      <c r="C360" t="str">
        <f>IF(B360="","",IF(COUNTIF(موجودی!$C$2:$C$839,"*"&amp;B360&amp;"*")&gt;0,"موجود","مغایرت"))</f>
        <v/>
      </c>
    </row>
    <row r="361" spans="2:3">
      <c r="B361" s="10"/>
      <c r="C361" t="str">
        <f>IF(B361="","",IF(COUNTIF(موجودی!$C$2:$C$839,"*"&amp;B361&amp;"*")&gt;0,"موجود","مغایرت"))</f>
        <v/>
      </c>
    </row>
    <row r="362" spans="2:3">
      <c r="B362" s="10"/>
      <c r="C362" t="str">
        <f>IF(B362="","",IF(COUNTIF(موجودی!$C$2:$C$839,"*"&amp;B362&amp;"*")&gt;0,"موجود","مغایرت"))</f>
        <v/>
      </c>
    </row>
    <row r="363" spans="2:3">
      <c r="B363" s="10"/>
      <c r="C363" t="str">
        <f>IF(B363="","",IF(COUNTIF(موجودی!$C$2:$C$839,"*"&amp;B363&amp;"*")&gt;0,"موجود","مغایرت"))</f>
        <v/>
      </c>
    </row>
    <row r="364" spans="2:3">
      <c r="B364" s="10"/>
      <c r="C364" t="str">
        <f>IF(B364="","",IF(COUNTIF(موجودی!$C$2:$C$839,"*"&amp;B364&amp;"*")&gt;0,"موجود","مغایرت"))</f>
        <v/>
      </c>
    </row>
    <row r="365" spans="2:3">
      <c r="B365" s="10"/>
      <c r="C365" t="str">
        <f>IF(B365="","",IF(COUNTIF(موجودی!$C$2:$C$839,"*"&amp;B365&amp;"*")&gt;0,"موجود","مغایرت"))</f>
        <v/>
      </c>
    </row>
    <row r="366" spans="2:3">
      <c r="B366" s="10"/>
      <c r="C366" t="str">
        <f>IF(B366="","",IF(COUNTIF(موجودی!$C$2:$C$839,"*"&amp;B366&amp;"*")&gt;0,"موجود","مغایرت"))</f>
        <v/>
      </c>
    </row>
    <row r="367" spans="2:3">
      <c r="B367" s="10"/>
      <c r="C367" t="str">
        <f>IF(B367="","",IF(COUNTIF(موجودی!$C$2:$C$839,"*"&amp;B367&amp;"*")&gt;0,"موجود","مغایرت"))</f>
        <v/>
      </c>
    </row>
    <row r="368" spans="2:3">
      <c r="B368" s="10"/>
      <c r="C368" t="str">
        <f>IF(B368="","",IF(COUNTIF(موجودی!$C$2:$C$839,"*"&amp;B368&amp;"*")&gt;0,"موجود","مغایرت"))</f>
        <v/>
      </c>
    </row>
    <row r="369" spans="2:3">
      <c r="B369" s="10"/>
      <c r="C369" t="str">
        <f>IF(B369="","",IF(COUNTIF(موجودی!$C$2:$C$839,"*"&amp;B369&amp;"*")&gt;0,"موجود","مغایرت"))</f>
        <v/>
      </c>
    </row>
    <row r="370" spans="2:3">
      <c r="B370" s="10"/>
      <c r="C370" t="str">
        <f>IF(B370="","",IF(COUNTIF(موجودی!$C$2:$C$839,"*"&amp;B370&amp;"*")&gt;0,"موجود","مغایرت"))</f>
        <v/>
      </c>
    </row>
    <row r="371" spans="2:3">
      <c r="B371" s="10"/>
      <c r="C371" t="str">
        <f>IF(B371="","",IF(COUNTIF(موجودی!$C$2:$C$839,"*"&amp;B371&amp;"*")&gt;0,"موجود","مغایرت"))</f>
        <v/>
      </c>
    </row>
    <row r="372" spans="2:3">
      <c r="B372" s="10"/>
      <c r="C372" t="str">
        <f>IF(B372="","",IF(COUNTIF(موجودی!$C$2:$C$839,"*"&amp;B372&amp;"*")&gt;0,"موجود","مغایرت"))</f>
        <v/>
      </c>
    </row>
    <row r="373" spans="2:3">
      <c r="B373" s="10"/>
      <c r="C373" t="str">
        <f>IF(B373="","",IF(COUNTIF(موجودی!$C$2:$C$839,"*"&amp;B373&amp;"*")&gt;0,"موجود","مغایرت"))</f>
        <v/>
      </c>
    </row>
    <row r="374" spans="2:3">
      <c r="B374" s="10"/>
      <c r="C374" t="str">
        <f>IF(B374="","",IF(COUNTIF(موجودی!$C$2:$C$839,"*"&amp;B374&amp;"*")&gt;0,"موجود","مغایرت"))</f>
        <v/>
      </c>
    </row>
    <row r="375" spans="2:3">
      <c r="B375" s="10"/>
      <c r="C375" t="str">
        <f>IF(B375="","",IF(COUNTIF(موجودی!$C$2:$C$839,"*"&amp;B375&amp;"*")&gt;0,"موجود","مغایرت"))</f>
        <v/>
      </c>
    </row>
    <row r="376" spans="2:3">
      <c r="B376" s="10"/>
      <c r="C376" t="str">
        <f>IF(B376="","",IF(COUNTIF(موجودی!$C$2:$C$839,"*"&amp;B376&amp;"*")&gt;0,"موجود","مغایرت"))</f>
        <v/>
      </c>
    </row>
    <row r="377" spans="2:3">
      <c r="B377" s="10"/>
      <c r="C377" t="str">
        <f>IF(B377="","",IF(COUNTIF(موجودی!$C$2:$C$839,"*"&amp;B377&amp;"*")&gt;0,"موجود","مغایرت"))</f>
        <v/>
      </c>
    </row>
    <row r="378" spans="2:3">
      <c r="B378" s="10"/>
      <c r="C378" t="str">
        <f>IF(B378="","",IF(COUNTIF(موجودی!$C$2:$C$839,"*"&amp;B378&amp;"*")&gt;0,"موجود","مغایرت"))</f>
        <v/>
      </c>
    </row>
    <row r="379" spans="2:3">
      <c r="B379" s="10"/>
      <c r="C379" t="str">
        <f>IF(B379="","",IF(COUNTIF(موجودی!$C$2:$C$839,"*"&amp;B379&amp;"*")&gt;0,"موجود","مغایرت"))</f>
        <v/>
      </c>
    </row>
    <row r="380" spans="2:3">
      <c r="B380" s="10"/>
      <c r="C380" t="str">
        <f>IF(B380="","",IF(COUNTIF(موجودی!$C$2:$C$839,"*"&amp;B380&amp;"*")&gt;0,"موجود","مغایرت"))</f>
        <v/>
      </c>
    </row>
    <row r="381" spans="2:3">
      <c r="B381" s="10"/>
      <c r="C381" t="str">
        <f>IF(B381="","",IF(COUNTIF(موجودی!$C$2:$C$839,"*"&amp;B381&amp;"*")&gt;0,"موجود","مغایرت"))</f>
        <v/>
      </c>
    </row>
    <row r="382" spans="2:3">
      <c r="B382" s="10"/>
      <c r="C382" t="str">
        <f>IF(B382="","",IF(COUNTIF(موجودی!$C$2:$C$839,"*"&amp;B382&amp;"*")&gt;0,"موجود","مغایرت"))</f>
        <v/>
      </c>
    </row>
    <row r="383" spans="2:3">
      <c r="B383" s="10"/>
      <c r="C383" t="str">
        <f>IF(B383="","",IF(COUNTIF(موجودی!$C$2:$C$839,"*"&amp;B383&amp;"*")&gt;0,"موجود","مغایرت"))</f>
        <v/>
      </c>
    </row>
    <row r="384" spans="2:3">
      <c r="B384" s="10"/>
      <c r="C384" t="str">
        <f>IF(B384="","",IF(COUNTIF(موجودی!$C$2:$C$839,"*"&amp;B384&amp;"*")&gt;0,"موجود","مغایرت"))</f>
        <v/>
      </c>
    </row>
    <row r="385" spans="2:3">
      <c r="B385" s="10"/>
      <c r="C385" t="str">
        <f>IF(B385="","",IF(COUNTIF(موجودی!$C$2:$C$839,"*"&amp;B385&amp;"*")&gt;0,"موجود","مغایرت"))</f>
        <v/>
      </c>
    </row>
    <row r="386" spans="2:3">
      <c r="B386" s="10"/>
      <c r="C386" t="str">
        <f>IF(B386="","",IF(COUNTIF(موجودی!$C$2:$C$839,"*"&amp;B386&amp;"*")&gt;0,"موجود","مغایرت"))</f>
        <v/>
      </c>
    </row>
    <row r="387" spans="2:3">
      <c r="B387" s="10"/>
      <c r="C387" t="str">
        <f>IF(B387="","",IF(COUNTIF(موجودی!$C$2:$C$839,"*"&amp;B387&amp;"*")&gt;0,"موجود","مغایرت"))</f>
        <v/>
      </c>
    </row>
    <row r="388" spans="2:3">
      <c r="B388" s="10"/>
      <c r="C388" t="str">
        <f>IF(B388="","",IF(COUNTIF(موجودی!$C$2:$C$839,"*"&amp;B388&amp;"*")&gt;0,"موجود","مغایرت"))</f>
        <v/>
      </c>
    </row>
    <row r="389" spans="2:3">
      <c r="B389" s="10"/>
      <c r="C389" t="str">
        <f>IF(B389="","",IF(COUNTIF(موجودی!$C$2:$C$839,"*"&amp;B389&amp;"*")&gt;0,"موجود","مغایرت"))</f>
        <v/>
      </c>
    </row>
    <row r="390" spans="2:3">
      <c r="B390" s="10"/>
      <c r="C390" t="str">
        <f>IF(B390="","",IF(COUNTIF(موجودی!$C$2:$C$839,"*"&amp;B390&amp;"*")&gt;0,"موجود","مغایرت"))</f>
        <v/>
      </c>
    </row>
    <row r="391" spans="2:3">
      <c r="B391" s="10"/>
      <c r="C391" t="str">
        <f>IF(B391="","",IF(COUNTIF(موجودی!$C$2:$C$839,"*"&amp;B391&amp;"*")&gt;0,"موجود","مغایرت"))</f>
        <v/>
      </c>
    </row>
    <row r="392" spans="2:3">
      <c r="B392" s="10"/>
      <c r="C392" t="str">
        <f>IF(B392="","",IF(COUNTIF(موجودی!$C$2:$C$839,"*"&amp;B392&amp;"*")&gt;0,"موجود","مغایرت"))</f>
        <v/>
      </c>
    </row>
    <row r="393" spans="2:3">
      <c r="B393" s="10"/>
      <c r="C393" t="str">
        <f>IF(B393="","",IF(COUNTIF(موجودی!$C$2:$C$839,"*"&amp;B393&amp;"*")&gt;0,"موجود","مغایرت"))</f>
        <v/>
      </c>
    </row>
    <row r="394" spans="2:3">
      <c r="B394" s="10"/>
      <c r="C394" t="str">
        <f>IF(B394="","",IF(COUNTIF(موجودی!$C$2:$C$839,"*"&amp;B394&amp;"*")&gt;0,"موجود","مغایرت"))</f>
        <v/>
      </c>
    </row>
    <row r="395" spans="2:3">
      <c r="B395" s="10"/>
      <c r="C395" t="str">
        <f>IF(B395="","",IF(COUNTIF(موجودی!$C$2:$C$839,"*"&amp;B395&amp;"*")&gt;0,"موجود","مغایرت"))</f>
        <v/>
      </c>
    </row>
    <row r="396" spans="2:3">
      <c r="B396" s="10"/>
      <c r="C396" t="str">
        <f>IF(B396="","",IF(COUNTIF(موجودی!$C$2:$C$839,"*"&amp;B396&amp;"*")&gt;0,"موجود","مغایرت"))</f>
        <v/>
      </c>
    </row>
    <row r="397" spans="2:3">
      <c r="B397" s="10"/>
      <c r="C397" t="str">
        <f>IF(B397="","",IF(COUNTIF(موجودی!$C$2:$C$839,"*"&amp;B397&amp;"*")&gt;0,"موجود","مغایرت"))</f>
        <v/>
      </c>
    </row>
    <row r="398" spans="2:3">
      <c r="B398" s="10"/>
      <c r="C398" t="str">
        <f>IF(B398="","",IF(COUNTIF(موجودی!$C$2:$C$839,"*"&amp;B398&amp;"*")&gt;0,"موجود","مغایرت"))</f>
        <v/>
      </c>
    </row>
    <row r="399" spans="2:3">
      <c r="B399" s="10"/>
      <c r="C399" t="str">
        <f>IF(B399="","",IF(COUNTIF(موجودی!$C$2:$C$839,"*"&amp;B399&amp;"*")&gt;0,"موجود","مغایرت"))</f>
        <v/>
      </c>
    </row>
    <row r="400" spans="2:3">
      <c r="B400" s="10"/>
      <c r="C400" t="str">
        <f>IF(B400="","",IF(COUNTIF(موجودی!$C$2:$C$839,"*"&amp;B400&amp;"*")&gt;0,"موجود","مغایرت"))</f>
        <v/>
      </c>
    </row>
    <row r="401" spans="2:3">
      <c r="B401" s="10"/>
      <c r="C401" t="str">
        <f>IF(B401="","",IF(COUNTIF(موجودی!$C$2:$C$839,"*"&amp;B401&amp;"*")&gt;0,"موجود","مغایرت"))</f>
        <v/>
      </c>
    </row>
    <row r="402" spans="2:3">
      <c r="B402" s="10"/>
      <c r="C402" t="str">
        <f>IF(B402="","",IF(COUNTIF(موجودی!$C$2:$C$839,"*"&amp;B402&amp;"*")&gt;0,"موجود","مغایرت"))</f>
        <v/>
      </c>
    </row>
    <row r="403" spans="2:3">
      <c r="B403" s="10"/>
      <c r="C403" t="str">
        <f>IF(B403="","",IF(COUNTIF(موجودی!$C$2:$C$839,"*"&amp;B403&amp;"*")&gt;0,"موجود","مغایرت"))</f>
        <v/>
      </c>
    </row>
    <row r="404" spans="2:3">
      <c r="B404" s="10"/>
      <c r="C404" t="str">
        <f>IF(B404="","",IF(COUNTIF(موجودی!$C$2:$C$839,"*"&amp;B404&amp;"*")&gt;0,"موجود","مغایرت"))</f>
        <v/>
      </c>
    </row>
    <row r="405" spans="2:3">
      <c r="B405" s="10"/>
      <c r="C405" t="str">
        <f>IF(B405="","",IF(COUNTIF(موجودی!$C$2:$C$839,"*"&amp;B405&amp;"*")&gt;0,"موجود","مغایرت"))</f>
        <v/>
      </c>
    </row>
    <row r="406" spans="2:3">
      <c r="B406" s="10"/>
      <c r="C406" t="str">
        <f>IF(B406="","",IF(COUNTIF(موجودی!$C$2:$C$839,"*"&amp;B406&amp;"*")&gt;0,"موجود","مغایرت"))</f>
        <v/>
      </c>
    </row>
    <row r="407" spans="2:3">
      <c r="B407" s="10"/>
      <c r="C407" t="str">
        <f>IF(B407="","",IF(COUNTIF(موجودی!$C$2:$C$839,"*"&amp;B407&amp;"*")&gt;0,"موجود","مغایرت"))</f>
        <v/>
      </c>
    </row>
    <row r="408" spans="2:3">
      <c r="B408" s="10"/>
      <c r="C408" t="str">
        <f>IF(B408="","",IF(COUNTIF(موجودی!$C$2:$C$839,"*"&amp;B408&amp;"*")&gt;0,"موجود","مغایرت"))</f>
        <v/>
      </c>
    </row>
    <row r="409" spans="2:3">
      <c r="B409" s="10"/>
      <c r="C409" t="str">
        <f>IF(B409="","",IF(COUNTIF(موجودی!$C$2:$C$839,"*"&amp;B409&amp;"*")&gt;0,"موجود","مغایرت"))</f>
        <v/>
      </c>
    </row>
    <row r="410" spans="2:3">
      <c r="B410" s="10"/>
      <c r="C410" t="str">
        <f>IF(B410="","",IF(COUNTIF(موجودی!$C$2:$C$839,"*"&amp;B410&amp;"*")&gt;0,"موجود","مغایرت"))</f>
        <v/>
      </c>
    </row>
    <row r="411" spans="2:3">
      <c r="B411" s="10"/>
      <c r="C411" t="str">
        <f>IF(B411="","",IF(COUNTIF(موجودی!$C$2:$C$839,"*"&amp;B411&amp;"*")&gt;0,"موجود","مغایرت"))</f>
        <v/>
      </c>
    </row>
    <row r="412" spans="2:3">
      <c r="B412" s="10"/>
      <c r="C412" t="str">
        <f>IF(B412="","",IF(COUNTIF(موجودی!$C$2:$C$839,"*"&amp;B412&amp;"*")&gt;0,"موجود","مغایرت"))</f>
        <v/>
      </c>
    </row>
    <row r="413" spans="2:3">
      <c r="B413" s="10"/>
      <c r="C413" t="str">
        <f>IF(B413="","",IF(COUNTIF(موجودی!$C$2:$C$839,"*"&amp;B413&amp;"*")&gt;0,"موجود","مغایرت"))</f>
        <v/>
      </c>
    </row>
    <row r="414" spans="2:3">
      <c r="B414" s="10"/>
      <c r="C414" t="str">
        <f>IF(B414="","",IF(COUNTIF(موجودی!$C$2:$C$839,"*"&amp;B414&amp;"*")&gt;0,"موجود","مغایرت"))</f>
        <v/>
      </c>
    </row>
    <row r="415" spans="2:3">
      <c r="B415" s="10"/>
      <c r="C415" t="str">
        <f>IF(B415="","",IF(COUNTIF(موجودی!$C$2:$C$839,"*"&amp;B415&amp;"*")&gt;0,"موجود","مغایرت"))</f>
        <v/>
      </c>
    </row>
    <row r="416" spans="2:3">
      <c r="B416" s="10"/>
      <c r="C416" t="str">
        <f>IF(B416="","",IF(COUNTIF(موجودی!$C$2:$C$839,"*"&amp;B416&amp;"*")&gt;0,"موجود","مغایرت"))</f>
        <v/>
      </c>
    </row>
    <row r="417" spans="2:3">
      <c r="B417" s="10"/>
      <c r="C417" t="str">
        <f>IF(B417="","",IF(COUNTIF(موجودی!$C$2:$C$839,"*"&amp;B417&amp;"*")&gt;0,"موجود","مغایرت"))</f>
        <v/>
      </c>
    </row>
    <row r="418" spans="2:3">
      <c r="B418" s="10"/>
      <c r="C418" t="str">
        <f>IF(B418="","",IF(COUNTIF(موجودی!$C$2:$C$839,"*"&amp;B418&amp;"*")&gt;0,"موجود","مغایرت"))</f>
        <v/>
      </c>
    </row>
    <row r="419" spans="2:3">
      <c r="B419" s="10"/>
      <c r="C419" t="str">
        <f>IF(B419="","",IF(COUNTIF(موجودی!$C$2:$C$839,"*"&amp;B419&amp;"*")&gt;0,"موجود","مغایرت"))</f>
        <v/>
      </c>
    </row>
    <row r="420" spans="2:3">
      <c r="B420" s="10"/>
      <c r="C420" t="str">
        <f>IF(B420="","",IF(COUNTIF(موجودی!$C$2:$C$839,"*"&amp;B420&amp;"*")&gt;0,"موجود","مغایرت"))</f>
        <v/>
      </c>
    </row>
    <row r="421" spans="2:3">
      <c r="B421" s="10"/>
      <c r="C421" t="str">
        <f>IF(B421="","",IF(COUNTIF(موجودی!$C$2:$C$839,"*"&amp;B421&amp;"*")&gt;0,"موجود","مغایرت"))</f>
        <v/>
      </c>
    </row>
    <row r="422" spans="2:3">
      <c r="B422" s="10"/>
      <c r="C422" t="str">
        <f>IF(B422="","",IF(COUNTIF(موجودی!$C$2:$C$839,"*"&amp;B422&amp;"*")&gt;0,"موجود","مغایرت"))</f>
        <v/>
      </c>
    </row>
    <row r="423" spans="2:3">
      <c r="B423" s="10"/>
      <c r="C423" t="str">
        <f>IF(B423="","",IF(COUNTIF(موجودی!$C$2:$C$839,"*"&amp;B423&amp;"*")&gt;0,"موجود","مغایرت"))</f>
        <v/>
      </c>
    </row>
    <row r="424" spans="2:3">
      <c r="B424" s="10"/>
      <c r="C424" t="str">
        <f>IF(B424="","",IF(COUNTIF(موجودی!$C$2:$C$839,"*"&amp;B424&amp;"*")&gt;0,"موجود","مغایرت"))</f>
        <v/>
      </c>
    </row>
    <row r="425" spans="2:3">
      <c r="B425" s="10"/>
      <c r="C425" t="str">
        <f>IF(B425="","",IF(COUNTIF(موجودی!$C$2:$C$839,"*"&amp;B425&amp;"*")&gt;0,"موجود","مغایرت"))</f>
        <v/>
      </c>
    </row>
    <row r="426" spans="2:3">
      <c r="B426" s="10"/>
      <c r="C426" t="str">
        <f>IF(B426="","",IF(COUNTIF(موجودی!$C$2:$C$839,"*"&amp;B426&amp;"*")&gt;0,"موجود","مغایرت"))</f>
        <v/>
      </c>
    </row>
    <row r="427" spans="2:3">
      <c r="B427" s="10"/>
      <c r="C427" t="str">
        <f>IF(B427="","",IF(COUNTIF(موجودی!$C$2:$C$839,"*"&amp;B427&amp;"*")&gt;0,"موجود","مغایرت"))</f>
        <v/>
      </c>
    </row>
    <row r="428" spans="2:3">
      <c r="B428" s="10"/>
      <c r="C428" t="str">
        <f>IF(B428="","",IF(COUNTIF(موجودی!$C$2:$C$839,"*"&amp;B428&amp;"*")&gt;0,"موجود","مغایرت"))</f>
        <v/>
      </c>
    </row>
    <row r="429" spans="2:3">
      <c r="B429" s="10"/>
      <c r="C429" t="str">
        <f>IF(B429="","",IF(COUNTIF(موجودی!$C$2:$C$839,"*"&amp;B429&amp;"*")&gt;0,"موجود","مغایرت"))</f>
        <v/>
      </c>
    </row>
    <row r="430" spans="2:3">
      <c r="B430" s="10"/>
      <c r="C430" t="str">
        <f>IF(B430="","",IF(COUNTIF(موجودی!$C$2:$C$839,"*"&amp;B430&amp;"*")&gt;0,"موجود","مغایرت"))</f>
        <v/>
      </c>
    </row>
    <row r="431" spans="2:3">
      <c r="B431" s="10"/>
      <c r="C431" t="str">
        <f>IF(B431="","",IF(COUNTIF(موجودی!$C$2:$C$839,"*"&amp;B431&amp;"*")&gt;0,"موجود","مغایرت"))</f>
        <v/>
      </c>
    </row>
    <row r="432" spans="2:3">
      <c r="B432" s="10"/>
      <c r="C432" t="str">
        <f>IF(B432="","",IF(COUNTIF(موجودی!$C$2:$C$839,"*"&amp;B432&amp;"*")&gt;0,"موجود","مغایرت"))</f>
        <v/>
      </c>
    </row>
    <row r="433" spans="2:3">
      <c r="B433" s="10"/>
      <c r="C433" t="str">
        <f>IF(B433="","",IF(COUNTIF(موجودی!$C$2:$C$839,"*"&amp;B433&amp;"*")&gt;0,"موجود","مغایرت"))</f>
        <v/>
      </c>
    </row>
    <row r="434" spans="2:3">
      <c r="B434" s="10"/>
      <c r="C434" t="str">
        <f>IF(B434="","",IF(COUNTIF(موجودی!$C$2:$C$839,"*"&amp;B434&amp;"*")&gt;0,"موجود","مغایرت"))</f>
        <v/>
      </c>
    </row>
    <row r="435" spans="2:3">
      <c r="B435" s="10"/>
      <c r="C435" t="str">
        <f>IF(B435="","",IF(COUNTIF(موجودی!$C$2:$C$839,"*"&amp;B435&amp;"*")&gt;0,"موجود","مغایرت"))</f>
        <v/>
      </c>
    </row>
    <row r="436" spans="2:3">
      <c r="B436" s="10"/>
      <c r="C436" t="str">
        <f>IF(B436="","",IF(COUNTIF(موجودی!$C$2:$C$839,"*"&amp;B436&amp;"*")&gt;0,"موجود","مغایرت"))</f>
        <v/>
      </c>
    </row>
    <row r="437" spans="2:3">
      <c r="B437" s="10"/>
      <c r="C437" t="str">
        <f>IF(B437="","",IF(COUNTIF(موجودی!$C$2:$C$839,"*"&amp;B437&amp;"*")&gt;0,"موجود","مغایرت"))</f>
        <v/>
      </c>
    </row>
    <row r="438" spans="2:3">
      <c r="B438" s="10"/>
      <c r="C438" t="str">
        <f>IF(B438="","",IF(COUNTIF(موجودی!$C$2:$C$839,"*"&amp;B438&amp;"*")&gt;0,"موجود","مغایرت"))</f>
        <v/>
      </c>
    </row>
    <row r="439" spans="2:3">
      <c r="B439" s="10"/>
      <c r="C439" t="str">
        <f>IF(B439="","",IF(COUNTIF(موجودی!$C$2:$C$839,"*"&amp;B439&amp;"*")&gt;0,"موجود","مغایرت"))</f>
        <v/>
      </c>
    </row>
    <row r="440" spans="2:3">
      <c r="B440" s="10"/>
      <c r="C440" t="str">
        <f>IF(B440="","",IF(COUNTIF(موجودی!$C$2:$C$839,"*"&amp;B440&amp;"*")&gt;0,"موجود","مغایرت"))</f>
        <v/>
      </c>
    </row>
    <row r="441" spans="2:3">
      <c r="B441" s="10"/>
      <c r="C441" t="str">
        <f>IF(B441="","",IF(COUNTIF(موجودی!$C$2:$C$839,"*"&amp;B441&amp;"*")&gt;0,"موجود","مغایرت"))</f>
        <v/>
      </c>
    </row>
    <row r="442" spans="2:3">
      <c r="B442" s="10"/>
      <c r="C442" t="str">
        <f>IF(B442="","",IF(COUNTIF(موجودی!$C$2:$C$839,"*"&amp;B442&amp;"*")&gt;0,"موجود","مغایرت"))</f>
        <v/>
      </c>
    </row>
    <row r="443" spans="2:3">
      <c r="B443" s="10"/>
      <c r="C443" t="str">
        <f>IF(B443="","",IF(COUNTIF(موجودی!$C$2:$C$839,"*"&amp;B443&amp;"*")&gt;0,"موجود","مغایرت"))</f>
        <v/>
      </c>
    </row>
    <row r="444" spans="2:3">
      <c r="B444" s="10"/>
      <c r="C444" t="str">
        <f>IF(B444="","",IF(COUNTIF(موجودی!$C$2:$C$839,"*"&amp;B444&amp;"*")&gt;0,"موجود","مغایرت"))</f>
        <v/>
      </c>
    </row>
    <row r="445" spans="2:3">
      <c r="B445" s="10"/>
      <c r="C445" t="str">
        <f>IF(B445="","",IF(COUNTIF(موجودی!$C$2:$C$839,"*"&amp;B445&amp;"*")&gt;0,"موجود","مغایرت"))</f>
        <v/>
      </c>
    </row>
    <row r="446" spans="2:3">
      <c r="B446" s="10"/>
      <c r="C446" t="str">
        <f>IF(B446="","",IF(COUNTIF(موجودی!$C$2:$C$839,"*"&amp;B446&amp;"*")&gt;0,"موجود","مغایرت"))</f>
        <v/>
      </c>
    </row>
    <row r="447" spans="2:3">
      <c r="B447" s="10"/>
      <c r="C447" t="str">
        <f>IF(B447="","",IF(COUNTIF(موجودی!$C$2:$C$839,"*"&amp;B447&amp;"*")&gt;0,"موجود","مغایرت"))</f>
        <v/>
      </c>
    </row>
    <row r="448" spans="2:3">
      <c r="B448" s="10"/>
      <c r="C448" t="str">
        <f>IF(B448="","",IF(COUNTIF(موجودی!$C$2:$C$839,"*"&amp;B448&amp;"*")&gt;0,"موجود","مغایرت"))</f>
        <v/>
      </c>
    </row>
    <row r="449" spans="2:3">
      <c r="B449" s="10"/>
      <c r="C449" t="str">
        <f>IF(B449="","",IF(COUNTIF(موجودی!$C$2:$C$839,"*"&amp;B449&amp;"*")&gt;0,"موجود","مغایرت"))</f>
        <v/>
      </c>
    </row>
    <row r="450" spans="2:3">
      <c r="B450" s="10"/>
      <c r="C450" t="str">
        <f>IF(B450="","",IF(COUNTIF(موجودی!$C$2:$C$839,"*"&amp;B450&amp;"*")&gt;0,"موجود","مغایرت"))</f>
        <v/>
      </c>
    </row>
    <row r="451" spans="2:3">
      <c r="B451" s="10"/>
      <c r="C451" t="str">
        <f>IF(B451="","",IF(COUNTIF(موجودی!$C$2:$C$839,"*"&amp;B451&amp;"*")&gt;0,"موجود","مغایرت"))</f>
        <v/>
      </c>
    </row>
    <row r="452" spans="2:3">
      <c r="B452" s="10"/>
      <c r="C452" t="str">
        <f>IF(B452="","",IF(COUNTIF(موجودی!$C$2:$C$839,"*"&amp;B452&amp;"*")&gt;0,"موجود","مغایرت"))</f>
        <v/>
      </c>
    </row>
    <row r="453" spans="2:3">
      <c r="B453" s="10"/>
      <c r="C453" t="str">
        <f>IF(B453="","",IF(COUNTIF(موجودی!$C$2:$C$839,"*"&amp;B453&amp;"*")&gt;0,"موجود","مغایرت"))</f>
        <v/>
      </c>
    </row>
    <row r="454" spans="2:3">
      <c r="B454" s="10"/>
      <c r="C454" t="str">
        <f>IF(B454="","",IF(COUNTIF(موجودی!$C$2:$C$839,"*"&amp;B454&amp;"*")&gt;0,"موجود","مغایرت"))</f>
        <v/>
      </c>
    </row>
    <row r="455" spans="2:3">
      <c r="B455" s="10"/>
      <c r="C455" t="str">
        <f>IF(B455="","",IF(COUNTIF(موجودی!$C$2:$C$839,"*"&amp;B455&amp;"*")&gt;0,"موجود","مغایرت"))</f>
        <v/>
      </c>
    </row>
    <row r="456" spans="2:3">
      <c r="B456" s="10"/>
      <c r="C456" t="str">
        <f>IF(B456="","",IF(COUNTIF(موجودی!$C$2:$C$839,"*"&amp;B456&amp;"*")&gt;0,"موجود","مغایرت"))</f>
        <v/>
      </c>
    </row>
    <row r="457" spans="2:3">
      <c r="B457" s="10"/>
      <c r="C457" t="str">
        <f>IF(B457="","",IF(COUNTIF(موجودی!$C$2:$C$839,"*"&amp;B457&amp;"*")&gt;0,"موجود","مغایرت"))</f>
        <v/>
      </c>
    </row>
    <row r="458" spans="2:3">
      <c r="B458" s="10"/>
      <c r="C458" t="str">
        <f>IF(B458="","",IF(COUNTIF(موجودی!$C$2:$C$839,"*"&amp;B458&amp;"*")&gt;0,"موجود","مغایرت"))</f>
        <v/>
      </c>
    </row>
    <row r="459" spans="2:3">
      <c r="B459" s="10"/>
      <c r="C459" t="str">
        <f>IF(B459="","",IF(COUNTIF(موجودی!$C$2:$C$839,"*"&amp;B459&amp;"*")&gt;0,"موجود","مغایرت"))</f>
        <v/>
      </c>
    </row>
    <row r="460" spans="2:3">
      <c r="B460" s="10"/>
      <c r="C460" t="str">
        <f>IF(B460="","",IF(COUNTIF(موجودی!$C$2:$C$839,"*"&amp;B460&amp;"*")&gt;0,"موجود","مغایرت"))</f>
        <v/>
      </c>
    </row>
    <row r="461" spans="2:3">
      <c r="B461" s="10"/>
      <c r="C461" t="str">
        <f>IF(B461="","",IF(COUNTIF(موجودی!$C$2:$C$839,"*"&amp;B461&amp;"*")&gt;0,"موجود","مغایرت"))</f>
        <v/>
      </c>
    </row>
    <row r="462" spans="2:3">
      <c r="B462" s="10"/>
      <c r="C462" t="str">
        <f>IF(B462="","",IF(COUNTIF(موجودی!$C$2:$C$839,"*"&amp;B462&amp;"*")&gt;0,"موجود","مغایرت"))</f>
        <v/>
      </c>
    </row>
    <row r="463" spans="2:3">
      <c r="B463" s="10"/>
      <c r="C463" t="str">
        <f>IF(B463="","",IF(COUNTIF(موجودی!$C$2:$C$839,"*"&amp;B463&amp;"*")&gt;0,"موجود","مغایرت"))</f>
        <v/>
      </c>
    </row>
    <row r="464" spans="2:3">
      <c r="B464" s="10"/>
      <c r="C464" t="str">
        <f>IF(B464="","",IF(COUNTIF(موجودی!$C$2:$C$839,"*"&amp;B464&amp;"*")&gt;0,"موجود","مغایرت"))</f>
        <v/>
      </c>
    </row>
    <row r="465" spans="2:3">
      <c r="B465" s="10"/>
      <c r="C465" t="str">
        <f>IF(B465="","",IF(COUNTIF(موجودی!$C$2:$C$839,"*"&amp;B465&amp;"*")&gt;0,"موجود","مغایرت"))</f>
        <v/>
      </c>
    </row>
    <row r="466" spans="2:3">
      <c r="B466" s="10"/>
      <c r="C466" t="str">
        <f>IF(B466="","",IF(COUNTIF(موجودی!$C$2:$C$839,"*"&amp;B466&amp;"*")&gt;0,"موجود","مغایرت"))</f>
        <v/>
      </c>
    </row>
    <row r="467" spans="2:3">
      <c r="B467" s="10"/>
      <c r="C467" t="str">
        <f>IF(B467="","",IF(COUNTIF(موجودی!$C$2:$C$839,"*"&amp;B467&amp;"*")&gt;0,"موجود","مغایرت"))</f>
        <v/>
      </c>
    </row>
    <row r="468" spans="2:3">
      <c r="B468" s="10"/>
      <c r="C468" t="str">
        <f>IF(B468="","",IF(COUNTIF(موجودی!$C$2:$C$839,"*"&amp;B468&amp;"*")&gt;0,"موجود","مغایرت"))</f>
        <v/>
      </c>
    </row>
    <row r="469" spans="2:3">
      <c r="B469" s="10"/>
      <c r="C469" t="str">
        <f>IF(B469="","",IF(COUNTIF(موجودی!$C$2:$C$839,"*"&amp;B469&amp;"*")&gt;0,"موجود","مغایرت"))</f>
        <v/>
      </c>
    </row>
    <row r="470" spans="2:3">
      <c r="B470" s="10"/>
      <c r="C470" t="str">
        <f>IF(B470="","",IF(COUNTIF(موجودی!$C$2:$C$839,"*"&amp;B470&amp;"*")&gt;0,"موجود","مغایرت"))</f>
        <v/>
      </c>
    </row>
    <row r="471" spans="2:3">
      <c r="B471" s="10"/>
      <c r="C471" t="str">
        <f>IF(B471="","",IF(COUNTIF(موجودی!$C$2:$C$839,"*"&amp;B471&amp;"*")&gt;0,"موجود","مغایرت"))</f>
        <v/>
      </c>
    </row>
    <row r="472" spans="2:3">
      <c r="B472" s="10"/>
      <c r="C472" t="str">
        <f>IF(B472="","",IF(COUNTIF(موجودی!$C$2:$C$839,"*"&amp;B472&amp;"*")&gt;0,"موجود","مغایرت"))</f>
        <v/>
      </c>
    </row>
    <row r="473" spans="2:3">
      <c r="B473" s="10"/>
      <c r="C473" t="str">
        <f>IF(B473="","",IF(COUNTIF(موجودی!$C$2:$C$839,"*"&amp;B473&amp;"*")&gt;0,"موجود","مغایرت"))</f>
        <v/>
      </c>
    </row>
    <row r="474" spans="2:3">
      <c r="B474" s="10"/>
      <c r="C474" t="str">
        <f>IF(B474="","",IF(COUNTIF(موجودی!$C$2:$C$839,"*"&amp;B474&amp;"*")&gt;0,"موجود","مغایرت"))</f>
        <v/>
      </c>
    </row>
    <row r="475" spans="2:3">
      <c r="B475" s="10"/>
      <c r="C475" t="str">
        <f>IF(B475="","",IF(COUNTIF(موجودی!$C$2:$C$839,"*"&amp;B475&amp;"*")&gt;0,"موجود","مغایرت"))</f>
        <v/>
      </c>
    </row>
    <row r="476" spans="2:3">
      <c r="B476" s="10"/>
      <c r="C476" t="str">
        <f>IF(B476="","",IF(COUNTIF(موجودی!$C$2:$C$839,"*"&amp;B476&amp;"*")&gt;0,"موجود","مغایرت"))</f>
        <v/>
      </c>
    </row>
    <row r="477" spans="2:3">
      <c r="B477" s="10"/>
      <c r="C477" t="str">
        <f>IF(B477="","",IF(COUNTIF(موجودی!$C$2:$C$839,"*"&amp;B477&amp;"*")&gt;0,"موجود","مغایرت"))</f>
        <v/>
      </c>
    </row>
    <row r="478" spans="2:3">
      <c r="B478" s="10"/>
      <c r="C478" t="str">
        <f>IF(B478="","",IF(COUNTIF(موجودی!$C$2:$C$839,"*"&amp;B478&amp;"*")&gt;0,"موجود","مغایرت"))</f>
        <v/>
      </c>
    </row>
    <row r="479" spans="2:3">
      <c r="B479" s="10"/>
      <c r="C479" t="str">
        <f>IF(B479="","",IF(COUNTIF(موجودی!$C$2:$C$839,"*"&amp;B479&amp;"*")&gt;0,"موجود","مغایرت"))</f>
        <v/>
      </c>
    </row>
    <row r="480" spans="2:3">
      <c r="B480" s="10"/>
      <c r="C480" t="str">
        <f>IF(B480="","",IF(COUNTIF(موجودی!$C$2:$C$839,"*"&amp;B480&amp;"*")&gt;0,"موجود","مغایرت"))</f>
        <v/>
      </c>
    </row>
    <row r="481" spans="2:3">
      <c r="B481" s="10"/>
      <c r="C481" t="str">
        <f>IF(B481="","",IF(COUNTIF(موجودی!$C$2:$C$839,"*"&amp;B481&amp;"*")&gt;0,"موجود","مغایرت"))</f>
        <v/>
      </c>
    </row>
    <row r="482" spans="2:3">
      <c r="B482" s="10"/>
      <c r="C482" t="str">
        <f>IF(B482="","",IF(COUNTIF(موجودی!$C$2:$C$839,"*"&amp;B482&amp;"*")&gt;0,"موجود","مغایرت"))</f>
        <v/>
      </c>
    </row>
    <row r="483" spans="2:3">
      <c r="B483" s="10"/>
      <c r="C483" t="str">
        <f>IF(B483="","",IF(COUNTIF(موجودی!$C$2:$C$839,"*"&amp;B483&amp;"*")&gt;0,"موجود","مغایرت"))</f>
        <v/>
      </c>
    </row>
    <row r="484" spans="2:3">
      <c r="B484" s="10"/>
      <c r="C484" t="str">
        <f>IF(B484="","",IF(COUNTIF(موجودی!$C$2:$C$839,"*"&amp;B484&amp;"*")&gt;0,"موجود","مغایرت"))</f>
        <v/>
      </c>
    </row>
    <row r="485" spans="2:3">
      <c r="B485" s="10"/>
      <c r="C485" t="str">
        <f>IF(B485="","",IF(COUNTIF(موجودی!$C$2:$C$839,"*"&amp;B485&amp;"*")&gt;0,"موجود","مغایرت"))</f>
        <v/>
      </c>
    </row>
    <row r="486" spans="2:3">
      <c r="B486" s="10"/>
      <c r="C486" t="str">
        <f>IF(B486="","",IF(COUNTIF(موجودی!$C$2:$C$839,"*"&amp;B486&amp;"*")&gt;0,"موجود","مغایرت"))</f>
        <v/>
      </c>
    </row>
    <row r="487" spans="2:3">
      <c r="B487" s="10"/>
      <c r="C487" t="str">
        <f>IF(B487="","",IF(COUNTIF(موجودی!$C$2:$C$839,"*"&amp;B487&amp;"*")&gt;0,"موجود","مغایرت"))</f>
        <v/>
      </c>
    </row>
    <row r="488" spans="2:3">
      <c r="B488" s="10"/>
      <c r="C488" t="str">
        <f>IF(B488="","",IF(COUNTIF(موجودی!$C$2:$C$839,"*"&amp;B488&amp;"*")&gt;0,"موجود","مغایرت"))</f>
        <v/>
      </c>
    </row>
    <row r="489" spans="2:3">
      <c r="B489" s="10"/>
      <c r="C489" t="str">
        <f>IF(B489="","",IF(COUNTIF(موجودی!$C$2:$C$839,"*"&amp;B489&amp;"*")&gt;0,"موجود","مغایرت"))</f>
        <v/>
      </c>
    </row>
    <row r="490" spans="2:3">
      <c r="B490" s="10"/>
      <c r="C490" t="str">
        <f>IF(B490="","",IF(COUNTIF(موجودی!$C$2:$C$839,"*"&amp;B490&amp;"*")&gt;0,"موجود","مغایرت"))</f>
        <v/>
      </c>
    </row>
    <row r="491" spans="2:3">
      <c r="B491" s="10"/>
      <c r="C491" t="str">
        <f>IF(B491="","",IF(COUNTIF(موجودی!$C$2:$C$839,"*"&amp;B491&amp;"*")&gt;0,"موجود","مغایرت"))</f>
        <v/>
      </c>
    </row>
    <row r="492" spans="2:3">
      <c r="B492" s="10"/>
      <c r="C492" t="str">
        <f>IF(B492="","",IF(COUNTIF(موجودی!$C$2:$C$839,"*"&amp;B492&amp;"*")&gt;0,"موجود","مغایرت"))</f>
        <v/>
      </c>
    </row>
    <row r="493" spans="2:3">
      <c r="B493" s="10"/>
      <c r="C493" t="str">
        <f>IF(B493="","",IF(COUNTIF(موجودی!$C$2:$C$839,"*"&amp;B493&amp;"*")&gt;0,"موجود","مغایرت"))</f>
        <v/>
      </c>
    </row>
    <row r="494" spans="2:3">
      <c r="B494" s="10"/>
      <c r="C494" t="str">
        <f>IF(B494="","",IF(COUNTIF(موجودی!$C$2:$C$839,"*"&amp;B494&amp;"*")&gt;0,"موجود","مغایرت"))</f>
        <v/>
      </c>
    </row>
    <row r="495" spans="2:3">
      <c r="B495" s="10"/>
      <c r="C495" t="str">
        <f>IF(B495="","",IF(COUNTIF(موجودی!$C$2:$C$839,"*"&amp;B495&amp;"*")&gt;0,"موجود","مغایرت"))</f>
        <v/>
      </c>
    </row>
    <row r="496" spans="2:3">
      <c r="B496" s="10"/>
      <c r="C496" t="str">
        <f>IF(B496="","",IF(COUNTIF(موجودی!$C$2:$C$839,"*"&amp;B496&amp;"*")&gt;0,"موجود","مغایرت"))</f>
        <v/>
      </c>
    </row>
    <row r="497" spans="2:3">
      <c r="B497" s="10"/>
      <c r="C497" t="str">
        <f>IF(B497="","",IF(COUNTIF(موجودی!$C$2:$C$839,"*"&amp;B497&amp;"*")&gt;0,"موجود","مغایرت"))</f>
        <v/>
      </c>
    </row>
    <row r="498" spans="2:3">
      <c r="B498" s="10"/>
      <c r="C498" t="str">
        <f>IF(B498="","",IF(COUNTIF(موجودی!$C$2:$C$839,"*"&amp;B498&amp;"*")&gt;0,"موجود","مغایرت"))</f>
        <v/>
      </c>
    </row>
    <row r="499" spans="2:3">
      <c r="B499" s="10"/>
      <c r="C499" t="str">
        <f>IF(B499="","",IF(COUNTIF(موجودی!$C$2:$C$839,"*"&amp;B499&amp;"*")&gt;0,"موجود","مغایرت"))</f>
        <v/>
      </c>
    </row>
    <row r="500" spans="2:3">
      <c r="B500" s="10"/>
      <c r="C500" t="str">
        <f>IF(B500="","",IF(COUNTIF(موجودی!$C$2:$C$839,"*"&amp;B500&amp;"*")&gt;0,"موجود","مغایرت"))</f>
        <v/>
      </c>
    </row>
    <row r="501" spans="2:3">
      <c r="B501" s="10"/>
      <c r="C501" t="str">
        <f>IF(B501="","",IF(COUNTIF(موجودی!$C$2:$C$839,"*"&amp;B501&amp;"*")&gt;0,"موجود","مغایرت"))</f>
        <v/>
      </c>
    </row>
    <row r="502" spans="2:3">
      <c r="B502" s="10"/>
      <c r="C502" t="str">
        <f>IF(B502="","",IF(COUNTIF(موجودی!$C$2:$C$839,"*"&amp;B502&amp;"*")&gt;0,"موجود","مغایرت"))</f>
        <v/>
      </c>
    </row>
    <row r="503" spans="2:3">
      <c r="B503" s="10"/>
      <c r="C503" t="str">
        <f>IF(B503="","",IF(COUNTIF(موجودی!$C$2:$C$839,"*"&amp;B503&amp;"*")&gt;0,"موجود","مغایرت"))</f>
        <v/>
      </c>
    </row>
    <row r="504" spans="2:3">
      <c r="B504" s="10"/>
      <c r="C504" t="str">
        <f>IF(B504="","",IF(COUNTIF(موجودی!$C$2:$C$839,"*"&amp;B504&amp;"*")&gt;0,"موجود","مغایرت"))</f>
        <v/>
      </c>
    </row>
    <row r="505" spans="2:3">
      <c r="B505" s="10"/>
      <c r="C505" t="str">
        <f>IF(B505="","",IF(COUNTIF(موجودی!$C$2:$C$839,"*"&amp;B505&amp;"*")&gt;0,"موجود","مغایرت"))</f>
        <v/>
      </c>
    </row>
    <row r="506" spans="2:3">
      <c r="B506" s="10"/>
      <c r="C506" t="str">
        <f>IF(B506="","",IF(COUNTIF(موجودی!$C$2:$C$839,"*"&amp;B506&amp;"*")&gt;0,"موجود","مغایرت"))</f>
        <v/>
      </c>
    </row>
    <row r="507" spans="2:3">
      <c r="B507" s="10"/>
      <c r="C507" t="str">
        <f>IF(B507="","",IF(COUNTIF(موجودی!$C$2:$C$839,"*"&amp;B507&amp;"*")&gt;0,"موجود","مغایرت"))</f>
        <v/>
      </c>
    </row>
    <row r="508" spans="2:3">
      <c r="B508" s="10"/>
      <c r="C508" t="str">
        <f>IF(B508="","",IF(COUNTIF(موجودی!$C$2:$C$839,"*"&amp;B508&amp;"*")&gt;0,"موجود","مغایرت"))</f>
        <v/>
      </c>
    </row>
    <row r="509" spans="2:3">
      <c r="B509" s="10"/>
      <c r="C509" t="str">
        <f>IF(B509="","",IF(COUNTIF(موجودی!$C$2:$C$839,"*"&amp;B509&amp;"*")&gt;0,"موجود","مغایرت"))</f>
        <v/>
      </c>
    </row>
    <row r="510" spans="2:3">
      <c r="B510" s="10"/>
      <c r="C510" t="str">
        <f>IF(B510="","",IF(COUNTIF(موجودی!$C$2:$C$839,"*"&amp;B510&amp;"*")&gt;0,"موجود","مغایرت"))</f>
        <v/>
      </c>
    </row>
    <row r="511" spans="2:3">
      <c r="B511" s="10"/>
      <c r="C511" t="str">
        <f>IF(B511="","",IF(COUNTIF(موجودی!$C$2:$C$839,"*"&amp;B511&amp;"*")&gt;0,"موجود","مغایرت"))</f>
        <v/>
      </c>
    </row>
    <row r="512" spans="2:3">
      <c r="B512" s="10"/>
      <c r="C512" t="str">
        <f>IF(B512="","",IF(COUNTIF(موجودی!$C$2:$C$839,"*"&amp;B512&amp;"*")&gt;0,"موجود","مغایرت"))</f>
        <v/>
      </c>
    </row>
    <row r="513" spans="2:3">
      <c r="B513" s="10"/>
      <c r="C513" t="str">
        <f>IF(B513="","",IF(COUNTIF(موجودی!$C$2:$C$839,"*"&amp;B513&amp;"*")&gt;0,"موجود","مغایرت"))</f>
        <v/>
      </c>
    </row>
    <row r="514" spans="2:3">
      <c r="B514" s="10"/>
      <c r="C514" t="str">
        <f>IF(B514="","",IF(COUNTIF(موجودی!$C$2:$C$839,"*"&amp;B514&amp;"*")&gt;0,"موجود","مغایرت"))</f>
        <v/>
      </c>
    </row>
    <row r="515" spans="2:3">
      <c r="B515" s="10"/>
      <c r="C515" t="str">
        <f>IF(B515="","",IF(COUNTIF(موجودی!$C$2:$C$839,"*"&amp;B515&amp;"*")&gt;0,"موجود","مغایرت"))</f>
        <v/>
      </c>
    </row>
    <row r="516" spans="2:3">
      <c r="B516" s="10"/>
      <c r="C516" t="str">
        <f>IF(B516="","",IF(COUNTIF(موجودی!$C$2:$C$839,"*"&amp;B516&amp;"*")&gt;0,"موجود","مغایرت"))</f>
        <v/>
      </c>
    </row>
    <row r="517" spans="2:3">
      <c r="B517" s="10"/>
      <c r="C517" t="str">
        <f>IF(B517="","",IF(COUNTIF(موجودی!$C$2:$C$839,"*"&amp;B517&amp;"*")&gt;0,"موجود","مغایرت"))</f>
        <v/>
      </c>
    </row>
    <row r="518" spans="2:3">
      <c r="B518" s="10"/>
      <c r="C518" t="str">
        <f>IF(B518="","",IF(COUNTIF(موجودی!$C$2:$C$839,"*"&amp;B518&amp;"*")&gt;0,"موجود","مغایرت"))</f>
        <v/>
      </c>
    </row>
    <row r="519" spans="2:3">
      <c r="B519" s="10"/>
      <c r="C519" t="str">
        <f>IF(B519="","",IF(COUNTIF(موجودی!$C$2:$C$839,"*"&amp;B519&amp;"*")&gt;0,"موجود","مغایرت"))</f>
        <v/>
      </c>
    </row>
    <row r="520" spans="2:3">
      <c r="B520" s="10"/>
      <c r="C520" t="str">
        <f>IF(B520="","",IF(COUNTIF(موجودی!$C$2:$C$839,"*"&amp;B520&amp;"*")&gt;0,"موجود","مغایرت"))</f>
        <v/>
      </c>
    </row>
    <row r="521" spans="2:3">
      <c r="B521" s="10"/>
      <c r="C521" t="str">
        <f>IF(B521="","",IF(COUNTIF(موجودی!$C$2:$C$839,"*"&amp;B521&amp;"*")&gt;0,"موجود","مغایرت"))</f>
        <v/>
      </c>
    </row>
    <row r="522" spans="2:3">
      <c r="B522" s="10"/>
      <c r="C522" t="str">
        <f>IF(B522="","",IF(COUNTIF(موجودی!$C$2:$C$839,"*"&amp;B522&amp;"*")&gt;0,"موجود","مغایرت"))</f>
        <v/>
      </c>
    </row>
    <row r="523" spans="2:3">
      <c r="B523" s="10"/>
      <c r="C523" t="str">
        <f>IF(B523="","",IF(COUNTIF(موجودی!$C$2:$C$839,"*"&amp;B523&amp;"*")&gt;0,"موجود","مغایرت"))</f>
        <v/>
      </c>
    </row>
    <row r="524" spans="2:3">
      <c r="B524" s="10"/>
      <c r="C524" t="str">
        <f>IF(B524="","",IF(COUNTIF(موجودی!$C$2:$C$839,"*"&amp;B524&amp;"*")&gt;0,"موجود","مغایرت"))</f>
        <v/>
      </c>
    </row>
    <row r="525" spans="2:3">
      <c r="B525" s="10"/>
      <c r="C525" t="str">
        <f>IF(B525="","",IF(COUNTIF(موجودی!$C$2:$C$839,"*"&amp;B525&amp;"*")&gt;0,"موجود","مغایرت"))</f>
        <v/>
      </c>
    </row>
    <row r="526" spans="2:3">
      <c r="B526" s="10"/>
      <c r="C526" t="str">
        <f>IF(B526="","",IF(COUNTIF(موجودی!$C$2:$C$839,"*"&amp;B526&amp;"*")&gt;0,"موجود","مغایرت"))</f>
        <v/>
      </c>
    </row>
    <row r="527" spans="2:3">
      <c r="B527" s="10"/>
      <c r="C527" t="str">
        <f>IF(B527="","",IF(COUNTIF(موجودی!$C$2:$C$839,"*"&amp;B527&amp;"*")&gt;0,"موجود","مغایرت"))</f>
        <v/>
      </c>
    </row>
    <row r="528" spans="2:3">
      <c r="B528" s="10"/>
      <c r="C528" t="str">
        <f>IF(B528="","",IF(COUNTIF(موجودی!$C$2:$C$839,"*"&amp;B528&amp;"*")&gt;0,"موجود","مغایرت"))</f>
        <v/>
      </c>
    </row>
    <row r="529" spans="2:3">
      <c r="B529" s="10"/>
      <c r="C529" t="str">
        <f>IF(B529="","",IF(COUNTIF(موجودی!$C$2:$C$839,"*"&amp;B529&amp;"*")&gt;0,"موجود","مغایرت"))</f>
        <v/>
      </c>
    </row>
    <row r="530" spans="2:3">
      <c r="B530" s="10"/>
      <c r="C530" t="str">
        <f>IF(B530="","",IF(COUNTIF(موجودی!$C$2:$C$839,"*"&amp;B530&amp;"*")&gt;0,"موجود","مغایرت"))</f>
        <v/>
      </c>
    </row>
    <row r="531" spans="2:3">
      <c r="B531" s="10"/>
      <c r="C531" t="str">
        <f>IF(B531="","",IF(COUNTIF(موجودی!$C$2:$C$839,"*"&amp;B531&amp;"*")&gt;0,"موجود","مغایرت"))</f>
        <v/>
      </c>
    </row>
    <row r="532" spans="2:3">
      <c r="B532" s="10"/>
      <c r="C532" t="str">
        <f>IF(B532="","",IF(COUNTIF(موجودی!$C$2:$C$839,"*"&amp;B532&amp;"*")&gt;0,"موجود","مغایرت"))</f>
        <v/>
      </c>
    </row>
    <row r="533" spans="2:3">
      <c r="B533" s="10"/>
      <c r="C533" t="str">
        <f>IF(B533="","",IF(COUNTIF(موجودی!$C$2:$C$839,"*"&amp;B533&amp;"*")&gt;0,"موجود","مغایرت"))</f>
        <v/>
      </c>
    </row>
    <row r="534" spans="2:3">
      <c r="B534" s="10"/>
      <c r="C534" t="str">
        <f>IF(B534="","",IF(COUNTIF(موجودی!$C$2:$C$839,"*"&amp;B534&amp;"*")&gt;0,"موجود","مغایرت"))</f>
        <v/>
      </c>
    </row>
    <row r="535" spans="2:3">
      <c r="B535" s="10"/>
      <c r="C535" t="str">
        <f>IF(B535="","",IF(COUNTIF(موجودی!$C$2:$C$839,"*"&amp;B535&amp;"*")&gt;0,"موجود","مغایرت"))</f>
        <v/>
      </c>
    </row>
    <row r="536" spans="2:3">
      <c r="B536" s="10"/>
      <c r="C536" t="str">
        <f>IF(B536="","",IF(COUNTIF(موجودی!$C$2:$C$839,"*"&amp;B536&amp;"*")&gt;0,"موجود","مغایرت"))</f>
        <v/>
      </c>
    </row>
    <row r="537" spans="2:3">
      <c r="B537" s="10"/>
      <c r="C537" t="str">
        <f>IF(B537="","",IF(COUNTIF(موجودی!$C$2:$C$839,"*"&amp;B537&amp;"*")&gt;0,"موجود","مغایرت"))</f>
        <v/>
      </c>
    </row>
    <row r="538" spans="2:3">
      <c r="B538" s="10"/>
      <c r="C538" t="str">
        <f>IF(B538="","",IF(COUNTIF(موجودی!$C$2:$C$839,"*"&amp;B538&amp;"*")&gt;0,"موجود","مغایرت"))</f>
        <v/>
      </c>
    </row>
    <row r="539" spans="2:3">
      <c r="B539" s="10"/>
      <c r="C539" t="str">
        <f>IF(B539="","",IF(COUNTIF(موجودی!$C$2:$C$839,"*"&amp;B539&amp;"*")&gt;0,"موجود","مغایرت"))</f>
        <v/>
      </c>
    </row>
    <row r="540" spans="2:3">
      <c r="B540" s="10"/>
      <c r="C540" t="str">
        <f>IF(B540="","",IF(COUNTIF(موجودی!$C$2:$C$839,"*"&amp;B540&amp;"*")&gt;0,"موجود","مغایرت"))</f>
        <v/>
      </c>
    </row>
    <row r="541" spans="2:3">
      <c r="B541" s="10"/>
      <c r="C541" t="str">
        <f>IF(B541="","",IF(COUNTIF(موجودی!$C$2:$C$839,"*"&amp;B541&amp;"*")&gt;0,"موجود","مغایرت"))</f>
        <v/>
      </c>
    </row>
    <row r="542" spans="2:3">
      <c r="B542" s="10"/>
      <c r="C542" t="str">
        <f>IF(B542="","",IF(COUNTIF(موجودی!$C$2:$C$839,"*"&amp;B542&amp;"*")&gt;0,"موجود","مغایرت"))</f>
        <v/>
      </c>
    </row>
    <row r="543" spans="2:3">
      <c r="B543" s="10"/>
      <c r="C543" t="str">
        <f>IF(B543="","",IF(COUNTIF(موجودی!$C$2:$C$839,"*"&amp;B543&amp;"*")&gt;0,"موجود","مغایرت"))</f>
        <v/>
      </c>
    </row>
    <row r="544" spans="2:3">
      <c r="B544" s="10"/>
      <c r="C544" t="str">
        <f>IF(B544="","",IF(COUNTIF(موجودی!$C$2:$C$839,"*"&amp;B544&amp;"*")&gt;0,"موجود","مغایرت"))</f>
        <v/>
      </c>
    </row>
    <row r="545" spans="2:3">
      <c r="B545" s="10"/>
      <c r="C545" t="str">
        <f>IF(B545="","",IF(COUNTIF(موجودی!$C$2:$C$839,"*"&amp;B545&amp;"*")&gt;0,"موجود","مغایرت"))</f>
        <v/>
      </c>
    </row>
    <row r="546" spans="2:3">
      <c r="B546" s="10"/>
      <c r="C546" t="str">
        <f>IF(B546="","",IF(COUNTIF(موجودی!$C$2:$C$839,"*"&amp;B546&amp;"*")&gt;0,"موجود","مغایرت"))</f>
        <v/>
      </c>
    </row>
    <row r="547" spans="2:3">
      <c r="B547" s="10"/>
      <c r="C547" t="str">
        <f>IF(B547="","",IF(COUNTIF(موجودی!$C$2:$C$839,"*"&amp;B547&amp;"*")&gt;0,"موجود","مغایرت"))</f>
        <v/>
      </c>
    </row>
    <row r="548" spans="2:3">
      <c r="B548" s="10"/>
      <c r="C548" t="str">
        <f>IF(B548="","",IF(COUNTIF(موجودی!$C$2:$C$839,"*"&amp;B548&amp;"*")&gt;0,"موجود","مغایرت"))</f>
        <v/>
      </c>
    </row>
    <row r="549" spans="2:3">
      <c r="B549" s="10"/>
      <c r="C549" t="str">
        <f>IF(B549="","",IF(COUNTIF(موجودی!$C$2:$C$839,"*"&amp;B549&amp;"*")&gt;0,"موجود","مغایرت"))</f>
        <v/>
      </c>
    </row>
    <row r="550" spans="2:3">
      <c r="B550" s="10"/>
      <c r="C550" t="str">
        <f>IF(B550="","",IF(COUNTIF(موجودی!$C$2:$C$839,"*"&amp;B550&amp;"*")&gt;0,"موجود","مغایرت"))</f>
        <v/>
      </c>
    </row>
    <row r="551" spans="2:3">
      <c r="B551" s="10"/>
      <c r="C551" t="str">
        <f>IF(B551="","",IF(COUNTIF(موجودی!$C$2:$C$839,"*"&amp;B551&amp;"*")&gt;0,"موجود","مغایرت"))</f>
        <v/>
      </c>
    </row>
    <row r="552" spans="2:3">
      <c r="B552" s="10"/>
      <c r="C552" t="str">
        <f>IF(B552="","",IF(COUNTIF(موجودی!$C$2:$C$839,"*"&amp;B552&amp;"*")&gt;0,"موجود","مغایرت"))</f>
        <v/>
      </c>
    </row>
    <row r="553" spans="2:3">
      <c r="B553" s="10"/>
      <c r="C553" t="str">
        <f>IF(B553="","",IF(COUNTIF(موجودی!$C$2:$C$839,"*"&amp;B553&amp;"*")&gt;0,"موجود","مغایرت"))</f>
        <v/>
      </c>
    </row>
    <row r="554" spans="2:3">
      <c r="B554" s="10"/>
      <c r="C554" t="str">
        <f>IF(B554="","",IF(COUNTIF(موجودی!$C$2:$C$839,"*"&amp;B554&amp;"*")&gt;0,"موجود","مغایرت"))</f>
        <v/>
      </c>
    </row>
    <row r="555" spans="2:3">
      <c r="B555" s="10"/>
      <c r="C555" t="str">
        <f>IF(B555="","",IF(COUNTIF(موجودی!$C$2:$C$839,"*"&amp;B555&amp;"*")&gt;0,"موجود","مغایرت"))</f>
        <v/>
      </c>
    </row>
    <row r="556" spans="2:3">
      <c r="B556" s="10"/>
      <c r="C556" t="str">
        <f>IF(B556="","",IF(COUNTIF(موجودی!$C$2:$C$839,"*"&amp;B556&amp;"*")&gt;0,"موجود","مغایرت"))</f>
        <v/>
      </c>
    </row>
    <row r="557" spans="2:3">
      <c r="B557" s="10"/>
      <c r="C557" t="str">
        <f>IF(B557="","",IF(COUNTIF(موجودی!$C$2:$C$839,"*"&amp;B557&amp;"*")&gt;0,"موجود","مغایرت"))</f>
        <v/>
      </c>
    </row>
    <row r="558" spans="2:3">
      <c r="B558" s="10"/>
      <c r="C558" t="str">
        <f>IF(B558="","",IF(COUNTIF(موجودی!$C$2:$C$839,"*"&amp;B558&amp;"*")&gt;0,"موجود","مغایرت"))</f>
        <v/>
      </c>
    </row>
    <row r="559" spans="2:3">
      <c r="B559" s="10"/>
      <c r="C559" t="str">
        <f>IF(B559="","",IF(COUNTIF(موجودی!$C$2:$C$839,"*"&amp;B559&amp;"*")&gt;0,"موجود","مغایرت"))</f>
        <v/>
      </c>
    </row>
    <row r="560" spans="2:3">
      <c r="B560" s="10"/>
      <c r="C560" t="str">
        <f>IF(B560="","",IF(COUNTIF(موجودی!$C$2:$C$839,"*"&amp;B560&amp;"*")&gt;0,"موجود","مغایرت"))</f>
        <v/>
      </c>
    </row>
    <row r="561" spans="2:3">
      <c r="B561" s="10"/>
      <c r="C561" t="str">
        <f>IF(B561="","",IF(COUNTIF(موجودی!$C$2:$C$839,"*"&amp;B561&amp;"*")&gt;0,"موجود","مغایرت"))</f>
        <v/>
      </c>
    </row>
    <row r="562" spans="2:3">
      <c r="B562" s="10"/>
      <c r="C562" t="str">
        <f>IF(B562="","",IF(COUNTIF(موجودی!$C$2:$C$839,"*"&amp;B562&amp;"*")&gt;0,"موجود","مغایرت"))</f>
        <v/>
      </c>
    </row>
    <row r="563" spans="2:3">
      <c r="B563" s="10"/>
      <c r="C563" t="str">
        <f>IF(B563="","",IF(COUNTIF(موجودی!$C$2:$C$839,"*"&amp;B563&amp;"*")&gt;0,"موجود","مغایرت"))</f>
        <v/>
      </c>
    </row>
    <row r="564" spans="2:3">
      <c r="B564" s="10"/>
      <c r="C564" t="str">
        <f>IF(B564="","",IF(COUNTIF(موجودی!$C$2:$C$839,"*"&amp;B564&amp;"*")&gt;0,"موجود","مغایرت"))</f>
        <v/>
      </c>
    </row>
    <row r="565" spans="2:3">
      <c r="B565" s="10"/>
      <c r="C565" t="str">
        <f>IF(B565="","",IF(COUNTIF(موجودی!$C$2:$C$839,"*"&amp;B565&amp;"*")&gt;0,"موجود","مغایرت"))</f>
        <v/>
      </c>
    </row>
    <row r="566" spans="2:3">
      <c r="B566" s="10"/>
      <c r="C566" t="str">
        <f>IF(B566="","",IF(COUNTIF(موجودی!$C$2:$C$839,"*"&amp;B566&amp;"*")&gt;0,"موجود","مغایرت"))</f>
        <v/>
      </c>
    </row>
    <row r="567" spans="2:3">
      <c r="B567" s="10"/>
      <c r="C567" t="str">
        <f>IF(B567="","",IF(COUNTIF(موجودی!$C$2:$C$839,"*"&amp;B567&amp;"*")&gt;0,"موجود","مغایرت"))</f>
        <v/>
      </c>
    </row>
    <row r="568" spans="2:3">
      <c r="B568" s="10"/>
      <c r="C568" t="str">
        <f>IF(B568="","",IF(COUNTIF(موجودی!$C$2:$C$839,"*"&amp;B568&amp;"*")&gt;0,"موجود","مغایرت"))</f>
        <v/>
      </c>
    </row>
    <row r="569" spans="2:3">
      <c r="B569" s="10"/>
      <c r="C569" t="str">
        <f>IF(B569="","",IF(COUNTIF(موجودی!$C$2:$C$839,"*"&amp;B569&amp;"*")&gt;0,"موجود","مغایرت"))</f>
        <v/>
      </c>
    </row>
    <row r="570" spans="2:3">
      <c r="B570" s="10"/>
      <c r="C570" t="str">
        <f>IF(B570="","",IF(COUNTIF(موجودی!$C$2:$C$839,"*"&amp;B570&amp;"*")&gt;0,"موجود","مغایرت"))</f>
        <v/>
      </c>
    </row>
    <row r="571" spans="2:3">
      <c r="B571" s="10"/>
      <c r="C571" t="str">
        <f>IF(B571="","",IF(COUNTIF(موجودی!$C$2:$C$839,"*"&amp;B571&amp;"*")&gt;0,"موجود","مغایرت"))</f>
        <v/>
      </c>
    </row>
    <row r="572" spans="2:3">
      <c r="B572" s="10"/>
      <c r="C572" t="str">
        <f>IF(B572="","",IF(COUNTIF(موجودی!$C$2:$C$839,"*"&amp;B572&amp;"*")&gt;0,"موجود","مغایرت"))</f>
        <v/>
      </c>
    </row>
    <row r="573" spans="2:3">
      <c r="B573" s="10"/>
      <c r="C573" t="str">
        <f>IF(B573="","",IF(COUNTIF(موجودی!$C$2:$C$839,"*"&amp;B573&amp;"*")&gt;0,"موجود","مغایرت"))</f>
        <v/>
      </c>
    </row>
    <row r="574" spans="2:3">
      <c r="B574" s="10"/>
      <c r="C574" t="str">
        <f>IF(B574="","",IF(COUNTIF(موجودی!$C$2:$C$839,"*"&amp;B574&amp;"*")&gt;0,"موجود","مغایرت"))</f>
        <v/>
      </c>
    </row>
    <row r="575" spans="2:3">
      <c r="B575" s="10"/>
      <c r="C575" t="str">
        <f>IF(B575="","",IF(COUNTIF(موجودی!$C$2:$C$839,"*"&amp;B575&amp;"*")&gt;0,"موجود","مغایرت"))</f>
        <v/>
      </c>
    </row>
    <row r="576" spans="2:3">
      <c r="B576" s="10"/>
      <c r="C576" t="str">
        <f>IF(B576="","",IF(COUNTIF(موجودی!$C$2:$C$839,"*"&amp;B576&amp;"*")&gt;0,"موجود","مغایرت"))</f>
        <v/>
      </c>
    </row>
    <row r="577" spans="2:3">
      <c r="B577" s="10"/>
      <c r="C577" t="str">
        <f>IF(B577="","",IF(COUNTIF(موجودی!$C$2:$C$839,"*"&amp;B577&amp;"*")&gt;0,"موجود","مغایرت"))</f>
        <v/>
      </c>
    </row>
    <row r="578" spans="2:3">
      <c r="B578" s="10"/>
      <c r="C578" t="str">
        <f>IF(B578="","",IF(COUNTIF(موجودی!$C$2:$C$839,"*"&amp;B578&amp;"*")&gt;0,"موجود","مغایرت"))</f>
        <v/>
      </c>
    </row>
    <row r="579" spans="2:3">
      <c r="B579" s="10"/>
      <c r="C579" t="str">
        <f>IF(B579="","",IF(COUNTIF(موجودی!$C$2:$C$839,"*"&amp;B579&amp;"*")&gt;0,"موجود","مغایرت"))</f>
        <v/>
      </c>
    </row>
    <row r="580" spans="2:3">
      <c r="B580" s="10"/>
      <c r="C580" t="str">
        <f>IF(B580="","",IF(COUNTIF(موجودی!$C$2:$C$839,"*"&amp;B580&amp;"*")&gt;0,"موجود","مغایرت"))</f>
        <v/>
      </c>
    </row>
    <row r="581" spans="2:3">
      <c r="B581" s="10"/>
      <c r="C581" t="str">
        <f>IF(B581="","",IF(COUNTIF(موجودی!$C$2:$C$839,"*"&amp;B581&amp;"*")&gt;0,"موجود","مغایرت"))</f>
        <v/>
      </c>
    </row>
    <row r="582" spans="2:3">
      <c r="B582" s="10"/>
      <c r="C582" t="str">
        <f>IF(B582="","",IF(COUNTIF(موجودی!$C$2:$C$839,"*"&amp;B582&amp;"*")&gt;0,"موجود","مغایرت"))</f>
        <v/>
      </c>
    </row>
    <row r="583" spans="2:3">
      <c r="B583" s="10"/>
      <c r="C583" t="str">
        <f>IF(B583="","",IF(COUNTIF(موجودی!$C$2:$C$839,"*"&amp;B583&amp;"*")&gt;0,"موجود","مغایرت"))</f>
        <v/>
      </c>
    </row>
    <row r="584" spans="2:3">
      <c r="B584" s="10"/>
      <c r="C584" t="str">
        <f>IF(B584="","",IF(COUNTIF(موجودی!$C$2:$C$839,"*"&amp;B584&amp;"*")&gt;0,"موجود","مغایرت"))</f>
        <v/>
      </c>
    </row>
    <row r="585" spans="2:3">
      <c r="B585" s="10"/>
      <c r="C585" t="str">
        <f>IF(B585="","",IF(COUNTIF(موجودی!$C$2:$C$839,"*"&amp;B585&amp;"*")&gt;0,"موجود","مغایرت"))</f>
        <v/>
      </c>
    </row>
    <row r="586" spans="2:3">
      <c r="B586" s="10"/>
      <c r="C586" t="str">
        <f>IF(B586="","",IF(COUNTIF(موجودی!$C$2:$C$839,"*"&amp;B586&amp;"*")&gt;0,"موجود","مغایرت"))</f>
        <v/>
      </c>
    </row>
    <row r="587" spans="2:3">
      <c r="B587" s="10"/>
      <c r="C587" t="str">
        <f>IF(B587="","",IF(COUNTIF(موجودی!$C$2:$C$839,"*"&amp;B587&amp;"*")&gt;0,"موجود","مغایرت"))</f>
        <v/>
      </c>
    </row>
    <row r="588" spans="2:3">
      <c r="B588" s="10"/>
      <c r="C588" t="str">
        <f>IF(B588="","",IF(COUNTIF(موجودی!$C$2:$C$839,"*"&amp;B588&amp;"*")&gt;0,"موجود","مغایرت"))</f>
        <v/>
      </c>
    </row>
    <row r="589" spans="2:3">
      <c r="B589" s="10"/>
      <c r="C589" t="str">
        <f>IF(B589="","",IF(COUNTIF(موجودی!$C$2:$C$839,"*"&amp;B589&amp;"*")&gt;0,"موجود","مغایرت"))</f>
        <v/>
      </c>
    </row>
    <row r="590" spans="2:3">
      <c r="B590" s="10"/>
      <c r="C590" t="str">
        <f>IF(B590="","",IF(COUNTIF(موجودی!$C$2:$C$839,"*"&amp;B590&amp;"*")&gt;0,"موجود","مغایرت"))</f>
        <v/>
      </c>
    </row>
    <row r="591" spans="2:3">
      <c r="B591" s="10"/>
      <c r="C591" t="str">
        <f>IF(B591="","",IF(COUNTIF(موجودی!$C$2:$C$839,"*"&amp;B591&amp;"*")&gt;0,"موجود","مغایرت"))</f>
        <v/>
      </c>
    </row>
    <row r="592" spans="2:3">
      <c r="B592" s="10"/>
      <c r="C592" t="str">
        <f>IF(B592="","",IF(COUNTIF(موجودی!$C$2:$C$839,"*"&amp;B592&amp;"*")&gt;0,"موجود","مغایرت"))</f>
        <v/>
      </c>
    </row>
    <row r="593" spans="2:3">
      <c r="B593" s="10"/>
      <c r="C593" t="str">
        <f>IF(B593="","",IF(COUNTIF(موجودی!$C$2:$C$839,"*"&amp;B593&amp;"*")&gt;0,"موجود","مغایرت"))</f>
        <v/>
      </c>
    </row>
    <row r="594" spans="2:3">
      <c r="B594" s="10"/>
      <c r="C594" t="str">
        <f>IF(B594="","",IF(COUNTIF(موجودی!$C$2:$C$839,"*"&amp;B594&amp;"*")&gt;0,"موجود","مغایرت"))</f>
        <v/>
      </c>
    </row>
    <row r="595" spans="2:3">
      <c r="B595" s="10"/>
      <c r="C595" t="str">
        <f>IF(B595="","",IF(COUNTIF(موجودی!$C$2:$C$839,"*"&amp;B595&amp;"*")&gt;0,"موجود","مغایرت"))</f>
        <v/>
      </c>
    </row>
    <row r="596" spans="2:3">
      <c r="B596" s="10"/>
      <c r="C596" t="str">
        <f>IF(B596="","",IF(COUNTIF(موجودی!$C$2:$C$839,"*"&amp;B596&amp;"*")&gt;0,"موجود","مغایرت"))</f>
        <v/>
      </c>
    </row>
    <row r="597" spans="2:3">
      <c r="B597" s="10"/>
      <c r="C597" t="str">
        <f>IF(B597="","",IF(COUNTIF(موجودی!$C$2:$C$839,"*"&amp;B597&amp;"*")&gt;0,"موجود","مغایرت"))</f>
        <v/>
      </c>
    </row>
    <row r="598" spans="2:3">
      <c r="B598" s="10"/>
      <c r="C598" t="str">
        <f>IF(B598="","",IF(COUNTIF(موجودی!$C$2:$C$839,"*"&amp;B598&amp;"*")&gt;0,"موجود","مغایرت"))</f>
        <v/>
      </c>
    </row>
    <row r="599" spans="2:3">
      <c r="B599" s="10"/>
      <c r="C599" t="str">
        <f>IF(B599="","",IF(COUNTIF(موجودی!$C$2:$C$839,"*"&amp;B599&amp;"*")&gt;0,"موجود","مغایرت"))</f>
        <v/>
      </c>
    </row>
    <row r="600" spans="2:3">
      <c r="B600" s="10"/>
      <c r="C600" t="str">
        <f>IF(B600="","",IF(COUNTIF(موجودی!$C$2:$C$839,"*"&amp;B600&amp;"*")&gt;0,"موجود","مغایرت"))</f>
        <v/>
      </c>
    </row>
    <row r="601" spans="2:3">
      <c r="B601" s="10"/>
      <c r="C601" t="str">
        <f>IF(B601="","",IF(COUNTIF(موجودی!$C$2:$C$839,"*"&amp;B601&amp;"*")&gt;0,"موجود","مغایرت"))</f>
        <v/>
      </c>
    </row>
    <row r="602" spans="2:3">
      <c r="B602" s="10"/>
      <c r="C602" t="str">
        <f>IF(B602="","",IF(COUNTIF(موجودی!$C$2:$C$839,"*"&amp;B602&amp;"*")&gt;0,"موجود","مغایرت"))</f>
        <v/>
      </c>
    </row>
    <row r="603" spans="2:3">
      <c r="B603" s="10"/>
      <c r="C603" t="str">
        <f>IF(B603="","",IF(COUNTIF(موجودی!$C$2:$C$839,"*"&amp;B603&amp;"*")&gt;0,"موجود","مغایرت"))</f>
        <v/>
      </c>
    </row>
    <row r="604" spans="2:3">
      <c r="B604" s="10"/>
      <c r="C604" t="str">
        <f>IF(B604="","",IF(COUNTIF(موجودی!$C$2:$C$839,"*"&amp;B604&amp;"*")&gt;0,"موجود","مغایرت"))</f>
        <v/>
      </c>
    </row>
    <row r="605" spans="2:3">
      <c r="B605" s="10"/>
      <c r="C605" t="str">
        <f>IF(B605="","",IF(COUNTIF(موجودی!$C$2:$C$839,"*"&amp;B605&amp;"*")&gt;0,"موجود","مغایرت"))</f>
        <v/>
      </c>
    </row>
    <row r="606" spans="2:3">
      <c r="B606" s="10"/>
      <c r="C606" t="str">
        <f>IF(B606="","",IF(COUNTIF(موجودی!$C$2:$C$839,"*"&amp;B606&amp;"*")&gt;0,"موجود","مغایرت"))</f>
        <v/>
      </c>
    </row>
    <row r="607" spans="2:3">
      <c r="B607" s="10"/>
      <c r="C607" t="str">
        <f>IF(B607="","",IF(COUNTIF(موجودی!$C$2:$C$839,"*"&amp;B607&amp;"*")&gt;0,"موجود","مغایرت"))</f>
        <v/>
      </c>
    </row>
    <row r="608" spans="2:3">
      <c r="B608" s="10"/>
      <c r="C608" t="str">
        <f>IF(B608="","",IF(COUNTIF(موجودی!$C$2:$C$839,"*"&amp;B608&amp;"*")&gt;0,"موجود","مغایرت"))</f>
        <v/>
      </c>
    </row>
    <row r="609" spans="2:3">
      <c r="B609" s="10"/>
      <c r="C609" t="str">
        <f>IF(B609="","",IF(COUNTIF(موجودی!$C$2:$C$839,"*"&amp;B609&amp;"*")&gt;0,"موجود","مغایرت"))</f>
        <v/>
      </c>
    </row>
    <row r="610" spans="2:3">
      <c r="B610" s="10"/>
      <c r="C610" t="str">
        <f>IF(B610="","",IF(COUNTIF(موجودی!$C$2:$C$839,"*"&amp;B610&amp;"*")&gt;0,"موجود","مغایرت"))</f>
        <v/>
      </c>
    </row>
    <row r="611" spans="2:3">
      <c r="B611" s="10"/>
      <c r="C611" t="str">
        <f>IF(B611="","",IF(COUNTIF(موجودی!$C$2:$C$839,"*"&amp;B611&amp;"*")&gt;0,"موجود","مغایرت"))</f>
        <v/>
      </c>
    </row>
    <row r="612" spans="2:3">
      <c r="B612" s="10"/>
      <c r="C612" t="str">
        <f>IF(B612="","",IF(COUNTIF(موجودی!$C$2:$C$839,"*"&amp;B612&amp;"*")&gt;0,"موجود","مغایرت"))</f>
        <v/>
      </c>
    </row>
    <row r="613" spans="2:3">
      <c r="B613" s="10"/>
      <c r="C613" t="str">
        <f>IF(B613="","",IF(COUNTIF(موجودی!$C$2:$C$839,"*"&amp;B613&amp;"*")&gt;0,"موجود","مغایرت"))</f>
        <v/>
      </c>
    </row>
    <row r="614" spans="2:3">
      <c r="B614" s="10"/>
      <c r="C614" t="str">
        <f>IF(B614="","",IF(COUNTIF(موجودی!$C$2:$C$839,"*"&amp;B614&amp;"*")&gt;0,"موجود","مغایرت"))</f>
        <v/>
      </c>
    </row>
    <row r="615" spans="2:3">
      <c r="B615" s="10"/>
      <c r="C615" t="str">
        <f>IF(B615="","",IF(COUNTIF(موجودی!$C$2:$C$839,"*"&amp;B615&amp;"*")&gt;0,"موجود","مغایرت"))</f>
        <v/>
      </c>
    </row>
    <row r="616" spans="2:3">
      <c r="B616" s="10"/>
      <c r="C616" t="str">
        <f>IF(B616="","",IF(COUNTIF(موجودی!$C$2:$C$839,"*"&amp;B616&amp;"*")&gt;0,"موجود","مغایرت"))</f>
        <v/>
      </c>
    </row>
    <row r="617" spans="2:3">
      <c r="B617" s="10"/>
      <c r="C617" t="str">
        <f>IF(B617="","",IF(COUNTIF(موجودی!$C$2:$C$839,"*"&amp;B617&amp;"*")&gt;0,"موجود","مغایرت"))</f>
        <v/>
      </c>
    </row>
    <row r="618" spans="2:3">
      <c r="B618" s="10"/>
      <c r="C618" t="str">
        <f>IF(B618="","",IF(COUNTIF(موجودی!$C$2:$C$839,"*"&amp;B618&amp;"*")&gt;0,"موجود","مغایرت"))</f>
        <v/>
      </c>
    </row>
    <row r="619" spans="2:3">
      <c r="B619" s="10"/>
      <c r="C619" t="str">
        <f>IF(B619="","",IF(COUNTIF(موجودی!$C$2:$C$839,"*"&amp;B619&amp;"*")&gt;0,"موجود","مغایرت"))</f>
        <v/>
      </c>
    </row>
    <row r="620" spans="2:3">
      <c r="B620" s="10"/>
      <c r="C620" t="str">
        <f>IF(B620="","",IF(COUNTIF(موجودی!$C$2:$C$839,"*"&amp;B620&amp;"*")&gt;0,"موجود","مغایرت"))</f>
        <v/>
      </c>
    </row>
    <row r="621" spans="2:3">
      <c r="B621" s="10"/>
      <c r="C621" t="str">
        <f>IF(B621="","",IF(COUNTIF(موجودی!$C$2:$C$839,"*"&amp;B621&amp;"*")&gt;0,"موجود","مغایرت"))</f>
        <v/>
      </c>
    </row>
    <row r="622" spans="2:3">
      <c r="B622" s="10"/>
      <c r="C622" t="str">
        <f>IF(B622="","",IF(COUNTIF(موجودی!$C$2:$C$839,"*"&amp;B622&amp;"*")&gt;0,"موجود","مغایرت"))</f>
        <v/>
      </c>
    </row>
    <row r="623" spans="2:3">
      <c r="B623" s="10"/>
      <c r="C623" t="str">
        <f>IF(B623="","",IF(COUNTIF(موجودی!$C$2:$C$839,"*"&amp;B623&amp;"*")&gt;0,"موجود","مغایرت"))</f>
        <v/>
      </c>
    </row>
    <row r="624" spans="2:3">
      <c r="B624" s="10"/>
      <c r="C624" t="str">
        <f>IF(B624="","",IF(COUNTIF(موجودی!$C$2:$C$839,"*"&amp;B624&amp;"*")&gt;0,"موجود","مغایرت"))</f>
        <v/>
      </c>
    </row>
    <row r="625" spans="2:3">
      <c r="B625" s="10"/>
      <c r="C625" t="str">
        <f>IF(B625="","",IF(COUNTIF(موجودی!$C$2:$C$839,"*"&amp;B625&amp;"*")&gt;0,"موجود","مغایرت"))</f>
        <v/>
      </c>
    </row>
    <row r="626" spans="2:3">
      <c r="B626" s="10"/>
      <c r="C626" t="str">
        <f>IF(B626="","",IF(COUNTIF(موجودی!$C$2:$C$839,"*"&amp;B626&amp;"*")&gt;0,"موجود","مغایرت"))</f>
        <v/>
      </c>
    </row>
    <row r="627" spans="2:3">
      <c r="B627" s="10"/>
      <c r="C627" t="str">
        <f>IF(B627="","",IF(COUNTIF(موجودی!$C$2:$C$839,"*"&amp;B627&amp;"*")&gt;0,"موجود","مغایرت"))</f>
        <v/>
      </c>
    </row>
    <row r="628" spans="2:3">
      <c r="B628" s="10"/>
      <c r="C628" t="str">
        <f>IF(B628="","",IF(COUNTIF(موجودی!$C$2:$C$839,"*"&amp;B628&amp;"*")&gt;0,"موجود","مغایرت"))</f>
        <v/>
      </c>
    </row>
    <row r="629" spans="2:3">
      <c r="B629" s="10"/>
      <c r="C629" t="str">
        <f>IF(B629="","",IF(COUNTIF(موجودی!$C$2:$C$839,"*"&amp;B629&amp;"*")&gt;0,"موجود","مغایرت"))</f>
        <v/>
      </c>
    </row>
    <row r="630" spans="2:3">
      <c r="B630" s="10"/>
      <c r="C630" t="str">
        <f>IF(B630="","",IF(COUNTIF(موجودی!$C$2:$C$839,"*"&amp;B630&amp;"*")&gt;0,"موجود","مغایرت"))</f>
        <v/>
      </c>
    </row>
    <row r="631" spans="2:3">
      <c r="B631" s="10"/>
      <c r="C631" t="str">
        <f>IF(B631="","",IF(COUNTIF(موجودی!$C$2:$C$839,"*"&amp;B631&amp;"*")&gt;0,"موجود","مغایرت"))</f>
        <v/>
      </c>
    </row>
    <row r="632" spans="2:3">
      <c r="B632" s="10"/>
      <c r="C632" t="str">
        <f>IF(B632="","",IF(COUNTIF(موجودی!$C$2:$C$839,"*"&amp;B632&amp;"*")&gt;0,"موجود","مغایرت"))</f>
        <v/>
      </c>
    </row>
    <row r="633" spans="2:3">
      <c r="B633" s="10"/>
      <c r="C633" t="str">
        <f>IF(B633="","",IF(COUNTIF(موجودی!$C$2:$C$839,"*"&amp;B633&amp;"*")&gt;0,"موجود","مغایرت"))</f>
        <v/>
      </c>
    </row>
    <row r="634" spans="2:3">
      <c r="B634" s="10"/>
      <c r="C634" t="str">
        <f>IF(B634="","",IF(COUNTIF(موجودی!$C$2:$C$839,"*"&amp;B634&amp;"*")&gt;0,"موجود","مغایرت"))</f>
        <v/>
      </c>
    </row>
    <row r="635" spans="2:3">
      <c r="B635" s="10"/>
      <c r="C635" t="str">
        <f>IF(B635="","",IF(COUNTIF(موجودی!$C$2:$C$839,"*"&amp;B635&amp;"*")&gt;0,"موجود","مغایرت"))</f>
        <v/>
      </c>
    </row>
    <row r="636" spans="2:3">
      <c r="B636" s="10"/>
      <c r="C636" t="str">
        <f>IF(B636="","",IF(COUNTIF(موجودی!$C$2:$C$839,"*"&amp;B636&amp;"*")&gt;0,"موجود","مغایرت"))</f>
        <v/>
      </c>
    </row>
    <row r="637" spans="2:3">
      <c r="B637" s="10"/>
      <c r="C637" t="str">
        <f>IF(B637="","",IF(COUNTIF(موجودی!$C$2:$C$839,"*"&amp;B637&amp;"*")&gt;0,"موجود","مغایرت"))</f>
        <v/>
      </c>
    </row>
    <row r="638" spans="2:3">
      <c r="B638" s="10"/>
      <c r="C638" t="str">
        <f>IF(B638="","",IF(COUNTIF(موجودی!$C$2:$C$839,"*"&amp;B638&amp;"*")&gt;0,"موجود","مغایرت"))</f>
        <v/>
      </c>
    </row>
    <row r="639" spans="2:3">
      <c r="B639" s="10"/>
      <c r="C639" t="str">
        <f>IF(B639="","",IF(COUNTIF(موجودی!$C$2:$C$839,"*"&amp;B639&amp;"*")&gt;0,"موجود","مغایرت"))</f>
        <v/>
      </c>
    </row>
    <row r="640" spans="2:3">
      <c r="B640" s="10"/>
      <c r="C640" t="str">
        <f>IF(B640="","",IF(COUNTIF(موجودی!$C$2:$C$839,"*"&amp;B640&amp;"*")&gt;0,"موجود","مغایرت"))</f>
        <v/>
      </c>
    </row>
    <row r="641" spans="2:3">
      <c r="B641" s="10"/>
      <c r="C641" t="str">
        <f>IF(B641="","",IF(COUNTIF(موجودی!$C$2:$C$839,"*"&amp;B641&amp;"*")&gt;0,"موجود","مغایرت"))</f>
        <v/>
      </c>
    </row>
    <row r="642" spans="2:3">
      <c r="B642" s="10"/>
      <c r="C642" t="str">
        <f>IF(B642="","",IF(COUNTIF(موجودی!$C$2:$C$839,"*"&amp;B642&amp;"*")&gt;0,"موجود","مغایرت"))</f>
        <v/>
      </c>
    </row>
    <row r="643" spans="2:3">
      <c r="B643" s="10"/>
      <c r="C643" t="str">
        <f>IF(B643="","",IF(COUNTIF(موجودی!$C$2:$C$839,"*"&amp;B643&amp;"*")&gt;0,"موجود","مغایرت"))</f>
        <v/>
      </c>
    </row>
    <row r="644" spans="2:3">
      <c r="B644" s="10"/>
      <c r="C644" t="str">
        <f>IF(B644="","",IF(COUNTIF(موجودی!$C$2:$C$839,"*"&amp;B644&amp;"*")&gt;0,"موجود","مغایرت"))</f>
        <v/>
      </c>
    </row>
    <row r="645" spans="2:3">
      <c r="B645" s="10"/>
      <c r="C645" t="str">
        <f>IF(B645="","",IF(COUNTIF(موجودی!$C$2:$C$839,"*"&amp;B645&amp;"*")&gt;0,"موجود","مغایرت"))</f>
        <v/>
      </c>
    </row>
    <row r="646" spans="2:3">
      <c r="B646" s="10"/>
      <c r="C646" t="str">
        <f>IF(B646="","",IF(COUNTIF(موجودی!$C$2:$C$839,"*"&amp;B646&amp;"*")&gt;0,"موجود","مغایرت"))</f>
        <v/>
      </c>
    </row>
    <row r="647" spans="2:3">
      <c r="B647" s="10"/>
      <c r="C647" t="str">
        <f>IF(B647="","",IF(COUNTIF(موجودی!$C$2:$C$839,"*"&amp;B647&amp;"*")&gt;0,"موجود","مغایرت"))</f>
        <v/>
      </c>
    </row>
    <row r="648" spans="2:3">
      <c r="B648" s="10"/>
      <c r="C648" t="str">
        <f>IF(B648="","",IF(COUNTIF(موجودی!$C$2:$C$839,"*"&amp;B648&amp;"*")&gt;0,"موجود","مغایرت"))</f>
        <v/>
      </c>
    </row>
    <row r="649" spans="2:3">
      <c r="B649" s="10"/>
      <c r="C649" t="str">
        <f>IF(B649="","",IF(COUNTIF(موجودی!$C$2:$C$839,"*"&amp;B649&amp;"*")&gt;0,"موجود","مغایرت"))</f>
        <v/>
      </c>
    </row>
    <row r="650" spans="2:3">
      <c r="B650" s="10"/>
      <c r="C650" t="str">
        <f>IF(B650="","",IF(COUNTIF(موجودی!$C$2:$C$839,"*"&amp;B650&amp;"*")&gt;0,"موجود","مغایرت"))</f>
        <v/>
      </c>
    </row>
    <row r="651" spans="2:3">
      <c r="B651" s="10"/>
      <c r="C651" t="str">
        <f>IF(B651="","",IF(COUNTIF(موجودی!$C$2:$C$839,"*"&amp;B651&amp;"*")&gt;0,"موجود","مغایرت"))</f>
        <v/>
      </c>
    </row>
    <row r="652" spans="2:3">
      <c r="B652" s="10"/>
      <c r="C652" t="str">
        <f>IF(B652="","",IF(COUNTIF(موجودی!$C$2:$C$839,"*"&amp;B652&amp;"*")&gt;0,"موجود","مغایرت"))</f>
        <v/>
      </c>
    </row>
    <row r="653" spans="2:3">
      <c r="B653" s="10"/>
      <c r="C653" t="str">
        <f>IF(B653="","",IF(COUNTIF(موجودی!$C$2:$C$839,"*"&amp;B653&amp;"*")&gt;0,"موجود","مغایرت"))</f>
        <v/>
      </c>
    </row>
    <row r="654" spans="2:3">
      <c r="B654" s="10"/>
      <c r="C654" t="str">
        <f>IF(B654="","",IF(COUNTIF(موجودی!$C$2:$C$839,"*"&amp;B654&amp;"*")&gt;0,"موجود","مغایرت"))</f>
        <v/>
      </c>
    </row>
    <row r="655" spans="2:3">
      <c r="B655" s="10"/>
      <c r="C655" t="str">
        <f>IF(B655="","",IF(COUNTIF(موجودی!$C$2:$C$839,"*"&amp;B655&amp;"*")&gt;0,"موجود","مغایرت"))</f>
        <v/>
      </c>
    </row>
    <row r="656" spans="2:3">
      <c r="B656" s="10"/>
      <c r="C656" t="str">
        <f>IF(B656="","",IF(COUNTIF(موجودی!$C$2:$C$839,"*"&amp;B656&amp;"*")&gt;0,"موجود","مغایرت"))</f>
        <v/>
      </c>
    </row>
    <row r="657" spans="2:3">
      <c r="B657" s="10"/>
      <c r="C657" t="str">
        <f>IF(B657="","",IF(COUNTIF(موجودی!$C$2:$C$839,"*"&amp;B657&amp;"*")&gt;0,"موجود","مغایرت"))</f>
        <v/>
      </c>
    </row>
    <row r="658" spans="2:3">
      <c r="B658" s="10"/>
      <c r="C658" t="str">
        <f>IF(B658="","",IF(COUNTIF(موجودی!$C$2:$C$839,"*"&amp;B658&amp;"*")&gt;0,"موجود","مغایرت"))</f>
        <v/>
      </c>
    </row>
    <row r="659" spans="2:3">
      <c r="B659" s="10"/>
      <c r="C659" t="str">
        <f>IF(B659="","",IF(COUNTIF(موجودی!$C$2:$C$839,"*"&amp;B659&amp;"*")&gt;0,"موجود","مغایرت"))</f>
        <v/>
      </c>
    </row>
    <row r="660" spans="2:3">
      <c r="B660" s="10"/>
      <c r="C660" t="str">
        <f>IF(B660="","",IF(COUNTIF(موجودی!$C$2:$C$839,"*"&amp;B660&amp;"*")&gt;0,"موجود","مغایرت"))</f>
        <v/>
      </c>
    </row>
    <row r="661" spans="2:3">
      <c r="B661" s="10"/>
      <c r="C661" t="str">
        <f>IF(B661="","",IF(COUNTIF(موجودی!$C$2:$C$839,"*"&amp;B661&amp;"*")&gt;0,"موجود","مغایرت"))</f>
        <v/>
      </c>
    </row>
    <row r="662" spans="2:3">
      <c r="B662" s="10"/>
      <c r="C662" t="str">
        <f>IF(B662="","",IF(COUNTIF(موجودی!$C$2:$C$839,"*"&amp;B662&amp;"*")&gt;0,"موجود","مغایرت"))</f>
        <v/>
      </c>
    </row>
    <row r="663" spans="2:3">
      <c r="B663" s="10"/>
      <c r="C663" t="str">
        <f>IF(B663="","",IF(COUNTIF(موجودی!$C$2:$C$839,"*"&amp;B663&amp;"*")&gt;0,"موجود","مغایرت"))</f>
        <v/>
      </c>
    </row>
    <row r="664" spans="2:3">
      <c r="B664" s="10"/>
      <c r="C664" t="str">
        <f>IF(B664="","",IF(COUNTIF(موجودی!$C$2:$C$839,"*"&amp;B664&amp;"*")&gt;0,"موجود","مغایرت"))</f>
        <v/>
      </c>
    </row>
    <row r="665" spans="2:3">
      <c r="B665" s="10"/>
      <c r="C665" t="str">
        <f>IF(B665="","",IF(COUNTIF(موجودی!$C$2:$C$839,"*"&amp;B665&amp;"*")&gt;0,"موجود","مغایرت"))</f>
        <v/>
      </c>
    </row>
    <row r="666" spans="2:3">
      <c r="B666" s="10"/>
      <c r="C666" t="str">
        <f>IF(B666="","",IF(COUNTIF(موجودی!$C$2:$C$839,"*"&amp;B666&amp;"*")&gt;0,"موجود","مغایرت"))</f>
        <v/>
      </c>
    </row>
    <row r="667" spans="2:3">
      <c r="B667" s="10"/>
      <c r="C667" t="str">
        <f>IF(B667="","",IF(COUNTIF(موجودی!$C$2:$C$839,"*"&amp;B667&amp;"*")&gt;0,"موجود","مغایرت"))</f>
        <v/>
      </c>
    </row>
    <row r="668" spans="2:3">
      <c r="B668" s="10"/>
      <c r="C668" t="str">
        <f>IF(B668="","",IF(COUNTIF(موجودی!$C$2:$C$839,"*"&amp;B668&amp;"*")&gt;0,"موجود","مغایرت"))</f>
        <v/>
      </c>
    </row>
    <row r="669" spans="2:3">
      <c r="B669" s="10"/>
      <c r="C669" t="str">
        <f>IF(B669="","",IF(COUNTIF(موجودی!$C$2:$C$839,"*"&amp;B669&amp;"*")&gt;0,"موجود","مغایرت"))</f>
        <v/>
      </c>
    </row>
    <row r="670" spans="2:3">
      <c r="B670" s="10"/>
      <c r="C670" t="str">
        <f>IF(B670="","",IF(COUNTIF(موجودی!$C$2:$C$839,"*"&amp;B670&amp;"*")&gt;0,"موجود","مغایرت"))</f>
        <v/>
      </c>
    </row>
    <row r="671" spans="2:3">
      <c r="B671" s="10"/>
      <c r="C671" t="str">
        <f>IF(B671="","",IF(COUNTIF(موجودی!$C$2:$C$839,"*"&amp;B671&amp;"*")&gt;0,"موجود","مغایرت"))</f>
        <v/>
      </c>
    </row>
    <row r="672" spans="2:3">
      <c r="B672" s="10"/>
      <c r="C672" t="str">
        <f>IF(B672="","",IF(COUNTIF(موجودی!$C$2:$C$839,"*"&amp;B672&amp;"*")&gt;0,"موجود","مغایرت"))</f>
        <v/>
      </c>
    </row>
    <row r="673" spans="2:3">
      <c r="B673" s="10"/>
      <c r="C673" t="str">
        <f>IF(B673="","",IF(COUNTIF(موجودی!$C$2:$C$839,"*"&amp;B673&amp;"*")&gt;0,"موجود","مغایرت"))</f>
        <v/>
      </c>
    </row>
    <row r="674" spans="2:3">
      <c r="B674" s="10"/>
      <c r="C674" t="str">
        <f>IF(B674="","",IF(COUNTIF(موجودی!$C$2:$C$839,"*"&amp;B674&amp;"*")&gt;0,"موجود","مغایرت"))</f>
        <v/>
      </c>
    </row>
    <row r="675" spans="2:3">
      <c r="B675" s="10"/>
      <c r="C675" t="str">
        <f>IF(B675="","",IF(COUNTIF(موجودی!$C$2:$C$839,"*"&amp;B675&amp;"*")&gt;0,"موجود","مغایرت"))</f>
        <v/>
      </c>
    </row>
    <row r="676" spans="2:3">
      <c r="B676" s="10"/>
      <c r="C676" t="str">
        <f>IF(B676="","",IF(COUNTIF(موجودی!$C$2:$C$839,"*"&amp;B676&amp;"*")&gt;0,"موجود","مغایرت"))</f>
        <v/>
      </c>
    </row>
    <row r="677" spans="2:3">
      <c r="B677" s="10"/>
      <c r="C677" t="str">
        <f>IF(B677="","",IF(COUNTIF(موجودی!$C$2:$C$839,"*"&amp;B677&amp;"*")&gt;0,"موجود","مغایرت"))</f>
        <v/>
      </c>
    </row>
    <row r="678" spans="2:3">
      <c r="B678" s="10"/>
      <c r="C678" t="str">
        <f>IF(B678="","",IF(COUNTIF(موجودی!$C$2:$C$839,"*"&amp;B678&amp;"*")&gt;0,"موجود","مغایرت"))</f>
        <v/>
      </c>
    </row>
    <row r="679" spans="2:3">
      <c r="B679" s="10"/>
      <c r="C679" t="str">
        <f>IF(B679="","",IF(COUNTIF(موجودی!$C$2:$C$839,"*"&amp;B679&amp;"*")&gt;0,"موجود","مغایرت"))</f>
        <v/>
      </c>
    </row>
    <row r="680" spans="2:3">
      <c r="B680" s="10"/>
      <c r="C680" t="str">
        <f>IF(B680="","",IF(COUNTIF(موجودی!$C$2:$C$839,"*"&amp;B680&amp;"*")&gt;0,"موجود","مغایرت"))</f>
        <v/>
      </c>
    </row>
    <row r="681" spans="2:3">
      <c r="B681" s="10"/>
      <c r="C681" t="str">
        <f>IF(B681="","",IF(COUNTIF(موجودی!$C$2:$C$839,"*"&amp;B681&amp;"*")&gt;0,"موجود","مغایرت"))</f>
        <v/>
      </c>
    </row>
    <row r="682" spans="2:3">
      <c r="B682" s="10"/>
      <c r="C682" t="str">
        <f>IF(B682="","",IF(COUNTIF(موجودی!$C$2:$C$839,"*"&amp;B682&amp;"*")&gt;0,"موجود","مغایرت"))</f>
        <v/>
      </c>
    </row>
    <row r="683" spans="2:3">
      <c r="B683" s="10"/>
      <c r="C683" t="str">
        <f>IF(B683="","",IF(COUNTIF(موجودی!$C$2:$C$839,"*"&amp;B683&amp;"*")&gt;0,"موجود","مغایرت"))</f>
        <v/>
      </c>
    </row>
    <row r="684" spans="2:3">
      <c r="B684" s="10"/>
      <c r="C684" t="str">
        <f>IF(B684="","",IF(COUNTIF(موجودی!$C$2:$C$839,"*"&amp;B684&amp;"*")&gt;0,"موجود","مغایرت"))</f>
        <v/>
      </c>
    </row>
    <row r="685" spans="2:3">
      <c r="B685" s="10"/>
      <c r="C685" t="str">
        <f>IF(B685="","",IF(COUNTIF(موجودی!$C$2:$C$839,"*"&amp;B685&amp;"*")&gt;0,"موجود","مغایرت"))</f>
        <v/>
      </c>
    </row>
    <row r="686" spans="2:3">
      <c r="B686" s="10"/>
      <c r="C686" t="str">
        <f>IF(B686="","",IF(COUNTIF(موجودی!$C$2:$C$839,"*"&amp;B686&amp;"*")&gt;0,"موجود","مغایرت"))</f>
        <v/>
      </c>
    </row>
    <row r="687" spans="2:3">
      <c r="B687" s="10"/>
      <c r="C687" t="str">
        <f>IF(B687="","",IF(COUNTIF(موجودی!$C$2:$C$839,"*"&amp;B687&amp;"*")&gt;0,"موجود","مغایرت"))</f>
        <v/>
      </c>
    </row>
    <row r="688" spans="2:3">
      <c r="B688" s="10"/>
      <c r="C688" t="str">
        <f>IF(B688="","",IF(COUNTIF(موجودی!$C$2:$C$839,"*"&amp;B688&amp;"*")&gt;0,"موجود","مغایرت"))</f>
        <v/>
      </c>
    </row>
    <row r="689" spans="2:3">
      <c r="B689" s="10"/>
      <c r="C689" t="str">
        <f>IF(B689="","",IF(COUNTIF(موجودی!$C$2:$C$839,"*"&amp;B689&amp;"*")&gt;0,"موجود","مغایرت"))</f>
        <v/>
      </c>
    </row>
    <row r="690" spans="2:3">
      <c r="B690" s="10"/>
      <c r="C690" t="str">
        <f>IF(B690="","",IF(COUNTIF(موجودی!$C$2:$C$839,"*"&amp;B690&amp;"*")&gt;0,"موجود","مغایرت"))</f>
        <v/>
      </c>
    </row>
    <row r="691" spans="2:3">
      <c r="B691" s="10"/>
      <c r="C691" t="str">
        <f>IF(B691="","",IF(COUNTIF(موجودی!$C$2:$C$839,"*"&amp;B691&amp;"*")&gt;0,"موجود","مغایرت"))</f>
        <v/>
      </c>
    </row>
    <row r="692" spans="2:3">
      <c r="B692" s="10"/>
      <c r="C692" t="str">
        <f>IF(B692="","",IF(COUNTIF(موجودی!$C$2:$C$839,"*"&amp;B692&amp;"*")&gt;0,"موجود","مغایرت"))</f>
        <v/>
      </c>
    </row>
    <row r="693" spans="2:3">
      <c r="B693" s="10"/>
      <c r="C693" t="str">
        <f>IF(B693="","",IF(COUNTIF(موجودی!$C$2:$C$839,"*"&amp;B693&amp;"*")&gt;0,"موجود","مغایرت"))</f>
        <v/>
      </c>
    </row>
    <row r="694" spans="2:3">
      <c r="B694" s="10"/>
      <c r="C694" t="str">
        <f>IF(B694="","",IF(COUNTIF(موجودی!$C$2:$C$839,"*"&amp;B694&amp;"*")&gt;0,"موجود","مغایرت"))</f>
        <v/>
      </c>
    </row>
    <row r="695" spans="2:3">
      <c r="B695" s="10"/>
      <c r="C695" t="str">
        <f>IF(B695="","",IF(COUNTIF(موجودی!$C$2:$C$839,"*"&amp;B695&amp;"*")&gt;0,"موجود","مغایرت"))</f>
        <v/>
      </c>
    </row>
    <row r="696" spans="2:3">
      <c r="B696" s="10"/>
      <c r="C696" t="str">
        <f>IF(B696="","",IF(COUNTIF(موجودی!$C$2:$C$839,"*"&amp;B696&amp;"*")&gt;0,"موجود","مغایرت"))</f>
        <v/>
      </c>
    </row>
    <row r="697" spans="2:3">
      <c r="B697" s="10"/>
      <c r="C697" t="str">
        <f>IF(B697="","",IF(COUNTIF(موجودی!$C$2:$C$839,"*"&amp;B697&amp;"*")&gt;0,"موجود","مغایرت"))</f>
        <v/>
      </c>
    </row>
    <row r="698" spans="2:3">
      <c r="B698" s="10"/>
      <c r="C698" t="str">
        <f>IF(B698="","",IF(COUNTIF(موجودی!$C$2:$C$839,"*"&amp;B698&amp;"*")&gt;0,"موجود","مغایرت"))</f>
        <v/>
      </c>
    </row>
    <row r="699" spans="2:3">
      <c r="B699" s="10"/>
      <c r="C699" t="str">
        <f>IF(B699="","",IF(COUNTIF(موجودی!$C$2:$C$839,"*"&amp;B699&amp;"*")&gt;0,"موجود","مغایرت"))</f>
        <v/>
      </c>
    </row>
    <row r="700" spans="2:3">
      <c r="B700" s="10"/>
      <c r="C700" t="str">
        <f>IF(B700="","",IF(COUNTIF(موجودی!$C$2:$C$839,"*"&amp;B700&amp;"*")&gt;0,"موجود","مغایرت"))</f>
        <v/>
      </c>
    </row>
    <row r="701" spans="2:3">
      <c r="B701" s="10"/>
      <c r="C701" t="str">
        <f>IF(B701="","",IF(COUNTIF(موجودی!$C$2:$C$839,"*"&amp;B701&amp;"*")&gt;0,"موجود","مغایرت"))</f>
        <v/>
      </c>
    </row>
    <row r="702" spans="2:3">
      <c r="B702" s="10"/>
      <c r="C702" t="str">
        <f>IF(B702="","",IF(COUNTIF(موجودی!$C$2:$C$839,"*"&amp;B702&amp;"*")&gt;0,"موجود","مغایرت"))</f>
        <v/>
      </c>
    </row>
    <row r="703" spans="2:3">
      <c r="B703" s="10"/>
      <c r="C703" t="str">
        <f>IF(B703="","",IF(COUNTIF(موجودی!$C$2:$C$839,"*"&amp;B703&amp;"*")&gt;0,"موجود","مغایرت"))</f>
        <v/>
      </c>
    </row>
    <row r="704" spans="2:3">
      <c r="B704" s="10"/>
      <c r="C704" t="str">
        <f>IF(B704="","",IF(COUNTIF(موجودی!$C$2:$C$839,"*"&amp;B704&amp;"*")&gt;0,"موجود","مغایرت"))</f>
        <v/>
      </c>
    </row>
    <row r="705" spans="2:3">
      <c r="B705" s="10"/>
      <c r="C705" t="str">
        <f>IF(B705="","",IF(COUNTIF(موجودی!$C$2:$C$839,"*"&amp;B705&amp;"*")&gt;0,"موجود","مغایرت"))</f>
        <v/>
      </c>
    </row>
    <row r="706" spans="2:3">
      <c r="B706" s="10"/>
      <c r="C706" t="str">
        <f>IF(B706="","",IF(COUNTIF(موجودی!$C$2:$C$839,"*"&amp;B706&amp;"*")&gt;0,"موجود","مغایرت"))</f>
        <v/>
      </c>
    </row>
    <row r="707" spans="2:3">
      <c r="B707" s="10"/>
      <c r="C707" t="str">
        <f>IF(B707="","",IF(COUNTIF(موجودی!$C$2:$C$839,"*"&amp;B707&amp;"*")&gt;0,"موجود","مغایرت"))</f>
        <v/>
      </c>
    </row>
    <row r="708" spans="2:3">
      <c r="B708" s="10"/>
      <c r="C708" t="str">
        <f>IF(B708="","",IF(COUNTIF(موجودی!$C$2:$C$839,"*"&amp;B708&amp;"*")&gt;0,"موجود","مغایرت"))</f>
        <v/>
      </c>
    </row>
    <row r="709" spans="2:3">
      <c r="B709" s="10"/>
      <c r="C709" t="str">
        <f>IF(B709="","",IF(COUNTIF(موجودی!$C$2:$C$839,"*"&amp;B709&amp;"*")&gt;0,"موجود","مغایرت"))</f>
        <v/>
      </c>
    </row>
    <row r="710" spans="2:3">
      <c r="B710" s="10"/>
      <c r="C710" t="str">
        <f>IF(B710="","",IF(COUNTIF(موجودی!$C$2:$C$839,"*"&amp;B710&amp;"*")&gt;0,"موجود","مغایرت"))</f>
        <v/>
      </c>
    </row>
    <row r="711" spans="2:3">
      <c r="B711" s="10"/>
      <c r="C711" t="str">
        <f>IF(B711="","",IF(COUNTIF(موجودی!$C$2:$C$839,"*"&amp;B711&amp;"*")&gt;0,"موجود","مغایرت"))</f>
        <v/>
      </c>
    </row>
    <row r="712" spans="2:3">
      <c r="B712" s="10"/>
      <c r="C712" t="str">
        <f>IF(B712="","",IF(COUNTIF(موجودی!$C$2:$C$839,"*"&amp;B712&amp;"*")&gt;0,"موجود","مغایرت"))</f>
        <v/>
      </c>
    </row>
    <row r="713" spans="2:3">
      <c r="B713" s="10"/>
      <c r="C713" t="str">
        <f>IF(B713="","",IF(COUNTIF(موجودی!$C$2:$C$839,"*"&amp;B713&amp;"*")&gt;0,"موجود","مغایرت"))</f>
        <v/>
      </c>
    </row>
    <row r="714" spans="2:3">
      <c r="B714" s="10"/>
      <c r="C714" t="str">
        <f>IF(B714="","",IF(COUNTIF(موجودی!$C$2:$C$839,"*"&amp;B714&amp;"*")&gt;0,"موجود","مغایرت"))</f>
        <v/>
      </c>
    </row>
    <row r="715" spans="2:3">
      <c r="B715" s="10"/>
      <c r="C715" t="str">
        <f>IF(B715="","",IF(COUNTIF(موجودی!$C$2:$C$839,"*"&amp;B715&amp;"*")&gt;0,"موجود","مغایرت"))</f>
        <v/>
      </c>
    </row>
    <row r="716" spans="2:3">
      <c r="B716" s="10"/>
      <c r="C716" t="str">
        <f>IF(B716="","",IF(COUNTIF(موجودی!$C$2:$C$839,"*"&amp;B716&amp;"*")&gt;0,"موجود","مغایرت"))</f>
        <v/>
      </c>
    </row>
    <row r="717" spans="2:3">
      <c r="B717" s="10"/>
      <c r="C717" t="str">
        <f>IF(B717="","",IF(COUNTIF(موجودی!$C$2:$C$839,"*"&amp;B717&amp;"*")&gt;0,"موجود","مغایرت"))</f>
        <v/>
      </c>
    </row>
    <row r="718" spans="2:3">
      <c r="B718" s="10"/>
      <c r="C718" t="str">
        <f>IF(B718="","",IF(COUNTIF(موجودی!$C$2:$C$839,"*"&amp;B718&amp;"*")&gt;0,"موجود","مغایرت"))</f>
        <v/>
      </c>
    </row>
    <row r="719" spans="2:3">
      <c r="B719" s="10"/>
      <c r="C719" t="str">
        <f>IF(B719="","",IF(COUNTIF(موجودی!$C$2:$C$839,"*"&amp;B719&amp;"*")&gt;0,"موجود","مغایرت"))</f>
        <v/>
      </c>
    </row>
    <row r="720" spans="2:3">
      <c r="B720" s="10"/>
      <c r="C720" t="str">
        <f>IF(B720="","",IF(COUNTIF(موجودی!$C$2:$C$839,"*"&amp;B720&amp;"*")&gt;0,"موجود","مغایرت"))</f>
        <v/>
      </c>
    </row>
    <row r="721" spans="2:3">
      <c r="B721" s="10"/>
      <c r="C721" t="str">
        <f>IF(B721="","",IF(COUNTIF(موجودی!$C$2:$C$839,"*"&amp;B721&amp;"*")&gt;0,"موجود","مغایرت"))</f>
        <v/>
      </c>
    </row>
    <row r="722" spans="2:3">
      <c r="B722" s="10"/>
      <c r="C722" t="str">
        <f>IF(B722="","",IF(COUNTIF(موجودی!$C$2:$C$839,"*"&amp;B722&amp;"*")&gt;0,"موجود","مغایرت"))</f>
        <v/>
      </c>
    </row>
    <row r="723" spans="2:3">
      <c r="B723" s="10"/>
      <c r="C723" t="str">
        <f>IF(B723="","",IF(COUNTIF(موجودی!$C$2:$C$839,"*"&amp;B723&amp;"*")&gt;0,"موجود","مغایرت"))</f>
        <v/>
      </c>
    </row>
    <row r="724" spans="2:3">
      <c r="B724" s="10"/>
      <c r="C724" t="str">
        <f>IF(B724="","",IF(COUNTIF(موجودی!$C$2:$C$839,"*"&amp;B724&amp;"*")&gt;0,"موجود","مغایرت"))</f>
        <v/>
      </c>
    </row>
    <row r="725" spans="2:3">
      <c r="B725" s="10"/>
      <c r="C725" t="str">
        <f>IF(B725="","",IF(COUNTIF(موجودی!$C$2:$C$839,"*"&amp;B725&amp;"*")&gt;0,"موجود","مغایرت"))</f>
        <v/>
      </c>
    </row>
    <row r="726" spans="2:3">
      <c r="B726" s="10"/>
      <c r="C726" t="str">
        <f>IF(B726="","",IF(COUNTIF(موجودی!$C$2:$C$839,"*"&amp;B726&amp;"*")&gt;0,"موجود","مغایرت"))</f>
        <v/>
      </c>
    </row>
    <row r="727" spans="2:3">
      <c r="B727" s="10"/>
      <c r="C727" t="str">
        <f>IF(B727="","",IF(COUNTIF(موجودی!$C$2:$C$839,"*"&amp;B727&amp;"*")&gt;0,"موجود","مغایرت"))</f>
        <v/>
      </c>
    </row>
    <row r="728" spans="2:3">
      <c r="B728" s="10"/>
      <c r="C728" t="str">
        <f>IF(B728="","",IF(COUNTIF(موجودی!$C$2:$C$839,"*"&amp;B728&amp;"*")&gt;0,"موجود","مغایرت"))</f>
        <v/>
      </c>
    </row>
    <row r="729" spans="2:3">
      <c r="B729" s="10"/>
      <c r="C729" t="str">
        <f>IF(B729="","",IF(COUNTIF(موجودی!$C$2:$C$839,"*"&amp;B729&amp;"*")&gt;0,"موجود","مغایرت"))</f>
        <v/>
      </c>
    </row>
    <row r="730" spans="2:3">
      <c r="B730" s="10"/>
      <c r="C730" t="str">
        <f>IF(B730="","",IF(COUNTIF(موجودی!$C$2:$C$839,"*"&amp;B730&amp;"*")&gt;0,"موجود","مغایرت"))</f>
        <v/>
      </c>
    </row>
    <row r="731" spans="2:3">
      <c r="B731" s="10"/>
      <c r="C731" t="str">
        <f>IF(B731="","",IF(COUNTIF(موجودی!$C$2:$C$839,"*"&amp;B731&amp;"*")&gt;0,"موجود","مغایرت"))</f>
        <v/>
      </c>
    </row>
    <row r="732" spans="2:3">
      <c r="B732" s="10"/>
      <c r="C732" t="str">
        <f>IF(B732="","",IF(COUNTIF(موجودی!$C$2:$C$839,"*"&amp;B732&amp;"*")&gt;0,"موجود","مغایرت"))</f>
        <v/>
      </c>
    </row>
    <row r="733" spans="2:3">
      <c r="B733" s="10"/>
      <c r="C733" t="str">
        <f>IF(B733="","",IF(COUNTIF(موجودی!$C$2:$C$839,"*"&amp;B733&amp;"*")&gt;0,"موجود","مغایرت"))</f>
        <v/>
      </c>
    </row>
    <row r="734" spans="2:3">
      <c r="B734" s="10"/>
      <c r="C734" t="str">
        <f>IF(B734="","",IF(COUNTIF(موجودی!$C$2:$C$839,"*"&amp;B734&amp;"*")&gt;0,"موجود","مغایرت"))</f>
        <v/>
      </c>
    </row>
    <row r="735" spans="2:3">
      <c r="B735" s="10"/>
      <c r="C735" t="str">
        <f>IF(B735="","",IF(COUNTIF(موجودی!$C$2:$C$839,"*"&amp;B735&amp;"*")&gt;0,"موجود","مغایرت"))</f>
        <v/>
      </c>
    </row>
    <row r="736" spans="2:3">
      <c r="B736" s="10"/>
      <c r="C736" t="str">
        <f>IF(B736="","",IF(COUNTIF(موجودی!$C$2:$C$839,"*"&amp;B736&amp;"*")&gt;0,"موجود","مغایرت"))</f>
        <v/>
      </c>
    </row>
    <row r="737" spans="2:3">
      <c r="B737" s="10"/>
      <c r="C737" t="str">
        <f>IF(B737="","",IF(COUNTIF(موجودی!$C$2:$C$839,"*"&amp;B737&amp;"*")&gt;0,"موجود","مغایرت"))</f>
        <v/>
      </c>
    </row>
    <row r="738" spans="2:3">
      <c r="B738" s="10"/>
      <c r="C738" t="str">
        <f>IF(B738="","",IF(COUNTIF(موجودی!$C$2:$C$839,"*"&amp;B738&amp;"*")&gt;0,"موجود","مغایرت"))</f>
        <v/>
      </c>
    </row>
    <row r="739" spans="2:3">
      <c r="B739" s="10"/>
      <c r="C739" t="str">
        <f>IF(B739="","",IF(COUNTIF(موجودی!$C$2:$C$839,"*"&amp;B739&amp;"*")&gt;0,"موجود","مغایرت"))</f>
        <v/>
      </c>
    </row>
    <row r="740" spans="2:3">
      <c r="B740" s="10"/>
      <c r="C740" t="str">
        <f>IF(B740="","",IF(COUNTIF(موجودی!$C$2:$C$839,"*"&amp;B740&amp;"*")&gt;0,"موجود","مغایرت"))</f>
        <v/>
      </c>
    </row>
    <row r="741" spans="2:3">
      <c r="B741" s="10"/>
      <c r="C741" t="str">
        <f>IF(B741="","",IF(COUNTIF(موجودی!$C$2:$C$839,"*"&amp;B741&amp;"*")&gt;0,"موجود","مغایرت"))</f>
        <v/>
      </c>
    </row>
    <row r="742" spans="2:3">
      <c r="B742" s="10"/>
      <c r="C742" t="str">
        <f>IF(B742="","",IF(COUNTIF(موجودی!$C$2:$C$839,"*"&amp;B742&amp;"*")&gt;0,"موجود","مغایرت"))</f>
        <v/>
      </c>
    </row>
    <row r="743" spans="2:3">
      <c r="B743" s="10"/>
      <c r="C743" t="str">
        <f>IF(B743="","",IF(COUNTIF(موجودی!$C$2:$C$839,"*"&amp;B743&amp;"*")&gt;0,"موجود","مغایرت"))</f>
        <v/>
      </c>
    </row>
    <row r="744" spans="2:3">
      <c r="B744" s="10"/>
      <c r="C744" t="str">
        <f>IF(B744="","",IF(COUNTIF(موجودی!$C$2:$C$839,"*"&amp;B744&amp;"*")&gt;0,"موجود","مغایرت"))</f>
        <v/>
      </c>
    </row>
    <row r="745" spans="2:3">
      <c r="B745" s="10"/>
      <c r="C745" t="str">
        <f>IF(B745="","",IF(COUNTIF(موجودی!$C$2:$C$839,"*"&amp;B745&amp;"*")&gt;0,"موجود","مغایرت"))</f>
        <v/>
      </c>
    </row>
    <row r="746" spans="2:3">
      <c r="B746" s="10"/>
      <c r="C746" t="str">
        <f>IF(B746="","",IF(COUNTIF(موجودی!$C$2:$C$839,"*"&amp;B746&amp;"*")&gt;0,"موجود","مغایرت"))</f>
        <v/>
      </c>
    </row>
    <row r="747" spans="2:3">
      <c r="B747" s="10"/>
      <c r="C747" t="str">
        <f>IF(B747="","",IF(COUNTIF(موجودی!$C$2:$C$839,"*"&amp;B747&amp;"*")&gt;0,"موجود","مغایرت"))</f>
        <v/>
      </c>
    </row>
    <row r="748" spans="2:3">
      <c r="B748" s="10"/>
      <c r="C748" t="str">
        <f>IF(B748="","",IF(COUNTIF(موجودی!$C$2:$C$839,"*"&amp;B748&amp;"*")&gt;0,"موجود","مغایرت"))</f>
        <v/>
      </c>
    </row>
    <row r="749" spans="2:3">
      <c r="B749" s="10"/>
      <c r="C749" t="str">
        <f>IF(B749="","",IF(COUNTIF(موجودی!$C$2:$C$839,"*"&amp;B749&amp;"*")&gt;0,"موجود","مغایرت"))</f>
        <v/>
      </c>
    </row>
    <row r="750" spans="2:3">
      <c r="B750" s="10"/>
      <c r="C750" t="str">
        <f>IF(B750="","",IF(COUNTIF(موجودی!$C$2:$C$839,"*"&amp;B750&amp;"*")&gt;0,"موجود","مغایرت"))</f>
        <v/>
      </c>
    </row>
    <row r="751" spans="2:3">
      <c r="B751" s="10"/>
      <c r="C751" t="str">
        <f>IF(B751="","",IF(COUNTIF(موجودی!$C$2:$C$839,"*"&amp;B751&amp;"*")&gt;0,"موجود","مغایرت"))</f>
        <v/>
      </c>
    </row>
    <row r="752" spans="2:3">
      <c r="B752" s="10"/>
      <c r="C752" t="str">
        <f>IF(B752="","",IF(COUNTIF(موجودی!$C$2:$C$839,"*"&amp;B752&amp;"*")&gt;0,"موجود","مغایرت"))</f>
        <v/>
      </c>
    </row>
    <row r="753" spans="2:3">
      <c r="B753" s="10"/>
      <c r="C753" t="str">
        <f>IF(B753="","",IF(COUNTIF(موجودی!$C$2:$C$839,"*"&amp;B753&amp;"*")&gt;0,"موجود","مغایرت"))</f>
        <v/>
      </c>
    </row>
    <row r="754" spans="2:3">
      <c r="B754" s="10"/>
      <c r="C754" t="str">
        <f>IF(B754="","",IF(COUNTIF(موجودی!$C$2:$C$839,"*"&amp;B754&amp;"*")&gt;0,"موجود","مغایرت"))</f>
        <v/>
      </c>
    </row>
    <row r="755" spans="2:3">
      <c r="B755" s="10"/>
      <c r="C755" t="str">
        <f>IF(B755="","",IF(COUNTIF(موجودی!$C$2:$C$839,"*"&amp;B755&amp;"*")&gt;0,"موجود","مغایرت"))</f>
        <v/>
      </c>
    </row>
    <row r="756" spans="2:3">
      <c r="B756" s="10"/>
      <c r="C756" t="str">
        <f>IF(B756="","",IF(COUNTIF(موجودی!$C$2:$C$839,"*"&amp;B756&amp;"*")&gt;0,"موجود","مغایرت"))</f>
        <v/>
      </c>
    </row>
    <row r="757" spans="2:3">
      <c r="B757" s="10"/>
      <c r="C757" t="str">
        <f>IF(B757="","",IF(COUNTIF(موجودی!$C$2:$C$839,"*"&amp;B757&amp;"*")&gt;0,"موجود","مغایرت"))</f>
        <v/>
      </c>
    </row>
    <row r="758" spans="2:3">
      <c r="B758" s="10"/>
      <c r="C758" t="str">
        <f>IF(B758="","",IF(COUNTIF(موجودی!$C$2:$C$839,"*"&amp;B758&amp;"*")&gt;0,"موجود","مغایرت"))</f>
        <v/>
      </c>
    </row>
    <row r="759" spans="2:3">
      <c r="B759" s="10"/>
      <c r="C759" t="str">
        <f>IF(B759="","",IF(COUNTIF(موجودی!$C$2:$C$839,"*"&amp;B759&amp;"*")&gt;0,"موجود","مغایرت"))</f>
        <v/>
      </c>
    </row>
    <row r="760" spans="2:3">
      <c r="B760" s="10"/>
      <c r="C760" t="str">
        <f>IF(B760="","",IF(COUNTIF(موجودی!$C$2:$C$839,"*"&amp;B760&amp;"*")&gt;0,"موجود","مغایرت"))</f>
        <v/>
      </c>
    </row>
    <row r="761" spans="2:3">
      <c r="B761" s="10"/>
      <c r="C761" t="str">
        <f>IF(B761="","",IF(COUNTIF(موجودی!$C$2:$C$839,"*"&amp;B761&amp;"*")&gt;0,"موجود","مغایرت"))</f>
        <v/>
      </c>
    </row>
    <row r="762" spans="2:3">
      <c r="B762" s="10"/>
      <c r="C762" t="str">
        <f>IF(B762="","",IF(COUNTIF(موجودی!$C$2:$C$839,"*"&amp;B762&amp;"*")&gt;0,"موجود","مغایرت"))</f>
        <v/>
      </c>
    </row>
    <row r="763" spans="2:3">
      <c r="B763" s="10"/>
      <c r="C763" t="str">
        <f>IF(B763="","",IF(COUNTIF(موجودی!$C$2:$C$839,"*"&amp;B763&amp;"*")&gt;0,"موجود","مغایرت"))</f>
        <v/>
      </c>
    </row>
    <row r="764" spans="2:3">
      <c r="B764" s="10"/>
      <c r="C764" t="str">
        <f>IF(B764="","",IF(COUNTIF(موجودی!$C$2:$C$839,"*"&amp;B764&amp;"*")&gt;0,"موجود","مغایرت"))</f>
        <v/>
      </c>
    </row>
    <row r="765" spans="2:3">
      <c r="B765" s="10"/>
      <c r="C765" t="str">
        <f>IF(B765="","",IF(COUNTIF(موجودی!$C$2:$C$839,"*"&amp;B765&amp;"*")&gt;0,"موجود","مغایرت"))</f>
        <v/>
      </c>
    </row>
    <row r="766" spans="2:3">
      <c r="B766" s="10"/>
      <c r="C766" t="str">
        <f>IF(B766="","",IF(COUNTIF(موجودی!$C$2:$C$839,"*"&amp;B766&amp;"*")&gt;0,"موجود","مغایرت"))</f>
        <v/>
      </c>
    </row>
    <row r="767" spans="2:3">
      <c r="B767" s="10"/>
      <c r="C767" t="str">
        <f>IF(B767="","",IF(COUNTIF(موجودی!$C$2:$C$839,"*"&amp;B767&amp;"*")&gt;0,"موجود","مغایرت"))</f>
        <v/>
      </c>
    </row>
    <row r="768" spans="2:3">
      <c r="B768" s="10"/>
      <c r="C768" t="str">
        <f>IF(B768="","",IF(COUNTIF(موجودی!$C$2:$C$839,"*"&amp;B768&amp;"*")&gt;0,"موجود","مغایرت"))</f>
        <v/>
      </c>
    </row>
    <row r="769" spans="2:3">
      <c r="B769" s="10"/>
      <c r="C769" t="str">
        <f>IF(B769="","",IF(COUNTIF(موجودی!$C$2:$C$839,"*"&amp;B769&amp;"*")&gt;0,"موجود","مغایرت"))</f>
        <v/>
      </c>
    </row>
    <row r="770" spans="2:3">
      <c r="B770" s="10"/>
      <c r="C770" t="str">
        <f>IF(B770="","",IF(COUNTIF(موجودی!$C$2:$C$839,"*"&amp;B770&amp;"*")&gt;0,"موجود","مغایرت"))</f>
        <v/>
      </c>
    </row>
    <row r="771" spans="2:3">
      <c r="B771" s="10"/>
      <c r="C771" t="str">
        <f>IF(B771="","",IF(COUNTIF(موجودی!$C$2:$C$839,"*"&amp;B771&amp;"*")&gt;0,"موجود","مغایرت"))</f>
        <v/>
      </c>
    </row>
    <row r="772" spans="2:3">
      <c r="B772" s="10"/>
      <c r="C772" t="str">
        <f>IF(B772="","",IF(COUNTIF(موجودی!$C$2:$C$839,"*"&amp;B772&amp;"*")&gt;0,"موجود","مغایرت"))</f>
        <v/>
      </c>
    </row>
    <row r="773" spans="2:3">
      <c r="B773" s="10"/>
      <c r="C773" t="str">
        <f>IF(B773="","",IF(COUNTIF(موجودی!$C$2:$C$839,"*"&amp;B773&amp;"*")&gt;0,"موجود","مغایرت"))</f>
        <v/>
      </c>
    </row>
    <row r="774" spans="2:3">
      <c r="B774" s="10"/>
      <c r="C774" t="str">
        <f>IF(B774="","",IF(COUNTIF(موجودی!$C$2:$C$839,"*"&amp;B774&amp;"*")&gt;0,"موجود","مغایرت"))</f>
        <v/>
      </c>
    </row>
    <row r="775" spans="2:3">
      <c r="B775" s="10"/>
      <c r="C775" t="str">
        <f>IF(B775="","",IF(COUNTIF(موجودی!$C$2:$C$839,"*"&amp;B775&amp;"*")&gt;0,"موجود","مغایرت"))</f>
        <v/>
      </c>
    </row>
    <row r="776" spans="2:3">
      <c r="B776" s="10"/>
      <c r="C776" t="str">
        <f>IF(B776="","",IF(COUNTIF(موجودی!$C$2:$C$839,"*"&amp;B776&amp;"*")&gt;0,"موجود","مغایرت"))</f>
        <v/>
      </c>
    </row>
    <row r="777" spans="2:3">
      <c r="B777" s="10"/>
      <c r="C777" t="str">
        <f>IF(B777="","",IF(COUNTIF(موجودی!$C$2:$C$839,"*"&amp;B777&amp;"*")&gt;0,"موجود","مغایرت"))</f>
        <v/>
      </c>
    </row>
    <row r="778" spans="2:3">
      <c r="B778" s="10"/>
      <c r="C778" t="str">
        <f>IF(B778="","",IF(COUNTIF(موجودی!$C$2:$C$839,"*"&amp;B778&amp;"*")&gt;0,"موجود","مغایرت"))</f>
        <v/>
      </c>
    </row>
    <row r="779" spans="2:3">
      <c r="B779" s="10"/>
      <c r="C779" t="str">
        <f>IF(B779="","",IF(COUNTIF(موجودی!$C$2:$C$839,"*"&amp;B779&amp;"*")&gt;0,"موجود","مغایرت"))</f>
        <v/>
      </c>
    </row>
    <row r="780" spans="2:3">
      <c r="B780" s="10"/>
      <c r="C780" t="str">
        <f>IF(B780="","",IF(COUNTIF(موجودی!$C$2:$C$839,"*"&amp;B780&amp;"*")&gt;0,"موجود","مغایرت"))</f>
        <v/>
      </c>
    </row>
    <row r="781" spans="2:3">
      <c r="B781" s="10"/>
      <c r="C781" t="str">
        <f>IF(B781="","",IF(COUNTIF(موجودی!$C$2:$C$839,"*"&amp;B781&amp;"*")&gt;0,"موجود","مغایرت"))</f>
        <v/>
      </c>
    </row>
    <row r="782" spans="2:3">
      <c r="B782" s="10"/>
      <c r="C782" t="str">
        <f>IF(B782="","",IF(COUNTIF(موجودی!$C$2:$C$839,"*"&amp;B782&amp;"*")&gt;0,"موجود","مغایرت"))</f>
        <v/>
      </c>
    </row>
    <row r="783" spans="2:3">
      <c r="B783" s="10"/>
      <c r="C783" t="str">
        <f>IF(B783="","",IF(COUNTIF(موجودی!$C$2:$C$839,"*"&amp;B783&amp;"*")&gt;0,"موجود","مغایرت"))</f>
        <v/>
      </c>
    </row>
    <row r="784" spans="2:3">
      <c r="B784" s="10"/>
      <c r="C784" t="str">
        <f>IF(B784="","",IF(COUNTIF(موجودی!$C$2:$C$839,"*"&amp;B784&amp;"*")&gt;0,"موجود","مغایرت"))</f>
        <v/>
      </c>
    </row>
    <row r="785" spans="2:3">
      <c r="B785" s="10"/>
      <c r="C785" t="str">
        <f>IF(B785="","",IF(COUNTIF(موجودی!$C$2:$C$839,"*"&amp;B785&amp;"*")&gt;0,"موجود","مغایرت"))</f>
        <v/>
      </c>
    </row>
    <row r="786" spans="2:3">
      <c r="B786" s="10"/>
      <c r="C786" t="str">
        <f>IF(B786="","",IF(COUNTIF(موجودی!$C$2:$C$839,"*"&amp;B786&amp;"*")&gt;0,"موجود","مغایرت"))</f>
        <v/>
      </c>
    </row>
    <row r="787" spans="2:3">
      <c r="B787" s="10"/>
      <c r="C787" t="str">
        <f>IF(B787="","",IF(COUNTIF(موجودی!$C$2:$C$839,"*"&amp;B787&amp;"*")&gt;0,"موجود","مغایرت"))</f>
        <v/>
      </c>
    </row>
    <row r="788" spans="2:3">
      <c r="B788" s="10"/>
      <c r="C788" t="str">
        <f>IF(B788="","",IF(COUNTIF(موجودی!$C$2:$C$839,"*"&amp;B788&amp;"*")&gt;0,"موجود","مغایرت"))</f>
        <v/>
      </c>
    </row>
    <row r="789" spans="2:3">
      <c r="B789" s="10"/>
      <c r="C789" t="str">
        <f>IF(B789="","",IF(COUNTIF(موجودی!$C$2:$C$839,"*"&amp;B789&amp;"*")&gt;0,"موجود","مغایرت"))</f>
        <v/>
      </c>
    </row>
    <row r="790" spans="2:3">
      <c r="B790" s="10"/>
      <c r="C790" t="str">
        <f>IF(B790="","",IF(COUNTIF(موجودی!$C$2:$C$839,"*"&amp;B790&amp;"*")&gt;0,"موجود","مغایرت"))</f>
        <v/>
      </c>
    </row>
    <row r="791" spans="2:3">
      <c r="B791" s="10"/>
      <c r="C791" t="str">
        <f>IF(B791="","",IF(COUNTIF(موجودی!$C$2:$C$839,"*"&amp;B791&amp;"*")&gt;0,"موجود","مغایرت"))</f>
        <v/>
      </c>
    </row>
    <row r="792" spans="2:3">
      <c r="B792" s="10"/>
      <c r="C792" t="str">
        <f>IF(B792="","",IF(COUNTIF(موجودی!$C$2:$C$839,"*"&amp;B792&amp;"*")&gt;0,"موجود","مغایرت"))</f>
        <v/>
      </c>
    </row>
    <row r="793" spans="2:3">
      <c r="B793" s="10"/>
      <c r="C793" t="str">
        <f>IF(B793="","",IF(COUNTIF(موجودی!$C$2:$C$839,"*"&amp;B793&amp;"*")&gt;0,"موجود","مغایرت"))</f>
        <v/>
      </c>
    </row>
    <row r="794" spans="2:3">
      <c r="B794" s="10"/>
      <c r="C794" t="str">
        <f>IF(B794="","",IF(COUNTIF(موجودی!$C$2:$C$839,"*"&amp;B794&amp;"*")&gt;0,"موجود","مغایرت"))</f>
        <v/>
      </c>
    </row>
    <row r="795" spans="2:3">
      <c r="B795" s="10"/>
      <c r="C795" t="str">
        <f>IF(B795="","",IF(COUNTIF(موجودی!$C$2:$C$839,"*"&amp;B795&amp;"*")&gt;0,"موجود","مغایرت"))</f>
        <v/>
      </c>
    </row>
    <row r="796" spans="2:3">
      <c r="B796" s="10"/>
      <c r="C796" t="str">
        <f>IF(B796="","",IF(COUNTIF(موجودی!$C$2:$C$839,"*"&amp;B796&amp;"*")&gt;0,"موجود","مغایرت"))</f>
        <v/>
      </c>
    </row>
    <row r="797" spans="2:3">
      <c r="B797" s="10"/>
      <c r="C797" t="str">
        <f>IF(B797="","",IF(COUNTIF(موجودی!$C$2:$C$839,"*"&amp;B797&amp;"*")&gt;0,"موجود","مغایرت"))</f>
        <v/>
      </c>
    </row>
    <row r="798" spans="2:3">
      <c r="B798" s="10"/>
      <c r="C798" t="str">
        <f>IF(B798="","",IF(COUNTIF(موجودی!$C$2:$C$839,"*"&amp;B798&amp;"*")&gt;0,"موجود","مغایرت"))</f>
        <v/>
      </c>
    </row>
    <row r="799" spans="2:3">
      <c r="B799" s="10"/>
      <c r="C799" t="str">
        <f>IF(B799="","",IF(COUNTIF(موجودی!$C$2:$C$839,"*"&amp;B799&amp;"*")&gt;0,"موجود","مغایرت"))</f>
        <v/>
      </c>
    </row>
    <row r="800" spans="2:3">
      <c r="B800" s="10"/>
      <c r="C800" t="str">
        <f>IF(B800="","",IF(COUNTIF(موجودی!$C$2:$C$839,"*"&amp;B800&amp;"*")&gt;0,"موجود","مغایرت"))</f>
        <v/>
      </c>
    </row>
    <row r="801" spans="2:3">
      <c r="B801" s="10"/>
      <c r="C801" t="str">
        <f>IF(B801="","",IF(COUNTIF(موجودی!$C$2:$C$839,"*"&amp;B801&amp;"*")&gt;0,"موجود","مغایرت"))</f>
        <v/>
      </c>
    </row>
    <row r="802" spans="2:3">
      <c r="B802" s="10"/>
      <c r="C802" t="str">
        <f>IF(B802="","",IF(COUNTIF(موجودی!$C$2:$C$839,"*"&amp;B802&amp;"*")&gt;0,"موجود","مغایرت"))</f>
        <v/>
      </c>
    </row>
    <row r="803" spans="2:3">
      <c r="B803" s="10"/>
      <c r="C803" t="str">
        <f>IF(B803="","",IF(COUNTIF(موجودی!$C$2:$C$839,"*"&amp;B803&amp;"*")&gt;0,"موجود","مغایرت"))</f>
        <v/>
      </c>
    </row>
    <row r="804" spans="2:3">
      <c r="B804" s="10"/>
      <c r="C804" t="str">
        <f>IF(B804="","",IF(COUNTIF(موجودی!$C$2:$C$839,"*"&amp;B804&amp;"*")&gt;0,"موجود","مغایرت"))</f>
        <v/>
      </c>
    </row>
    <row r="805" spans="2:3">
      <c r="B805" s="10"/>
      <c r="C805" t="str">
        <f>IF(B805="","",IF(COUNTIF(موجودی!$C$2:$C$839,"*"&amp;B805&amp;"*")&gt;0,"موجود","مغایرت"))</f>
        <v/>
      </c>
    </row>
    <row r="806" spans="2:3">
      <c r="B806" s="10"/>
      <c r="C806" t="str">
        <f>IF(B806="","",IF(COUNTIF(موجودی!$C$2:$C$839,"*"&amp;B806&amp;"*")&gt;0,"موجود","مغایرت"))</f>
        <v/>
      </c>
    </row>
    <row r="807" spans="2:3">
      <c r="B807" s="10"/>
      <c r="C807" t="str">
        <f>IF(B807="","",IF(COUNTIF(موجودی!$C$2:$C$839,"*"&amp;B807&amp;"*")&gt;0,"موجود","مغایرت"))</f>
        <v/>
      </c>
    </row>
    <row r="808" spans="2:3">
      <c r="B808" s="10"/>
      <c r="C808" t="str">
        <f>IF(B808="","",IF(COUNTIF(موجودی!$C$2:$C$839,"*"&amp;B808&amp;"*")&gt;0,"موجود","مغایرت"))</f>
        <v/>
      </c>
    </row>
    <row r="809" spans="2:3">
      <c r="B809" s="10"/>
      <c r="C809" t="str">
        <f>IF(B809="","",IF(COUNTIF(موجودی!$C$2:$C$839,"*"&amp;B809&amp;"*")&gt;0,"موجود","مغایرت"))</f>
        <v/>
      </c>
    </row>
    <row r="810" spans="2:3">
      <c r="B810" s="10"/>
      <c r="C810" t="str">
        <f>IF(B810="","",IF(COUNTIF(موجودی!$C$2:$C$839,"*"&amp;B810&amp;"*")&gt;0,"موجود","مغایرت"))</f>
        <v/>
      </c>
    </row>
    <row r="811" spans="2:3">
      <c r="B811" s="10"/>
      <c r="C811" t="str">
        <f>IF(B811="","",IF(COUNTIF(موجودی!$C$2:$C$839,"*"&amp;B811&amp;"*")&gt;0,"موجود","مغایرت"))</f>
        <v/>
      </c>
    </row>
    <row r="812" spans="2:3">
      <c r="B812" s="10"/>
      <c r="C812" t="str">
        <f>IF(B812="","",IF(COUNTIF(موجودی!$C$2:$C$839,"*"&amp;B812&amp;"*")&gt;0,"موجود","مغایرت"))</f>
        <v/>
      </c>
    </row>
    <row r="813" spans="2:3">
      <c r="B813" s="10"/>
      <c r="C813" t="str">
        <f>IF(B813="","",IF(COUNTIF(موجودی!$C$2:$C$839,"*"&amp;B813&amp;"*")&gt;0,"موجود","مغایرت"))</f>
        <v/>
      </c>
    </row>
    <row r="814" spans="2:3">
      <c r="B814" s="10"/>
      <c r="C814" t="str">
        <f>IF(B814="","",IF(COUNTIF(موجودی!$C$2:$C$839,"*"&amp;B814&amp;"*")&gt;0,"موجود","مغایرت"))</f>
        <v/>
      </c>
    </row>
    <row r="815" spans="2:3">
      <c r="B815" s="10"/>
      <c r="C815" t="str">
        <f>IF(B815="","",IF(COUNTIF(موجودی!$C$2:$C$839,"*"&amp;B815&amp;"*")&gt;0,"موجود","مغایرت"))</f>
        <v/>
      </c>
    </row>
    <row r="816" spans="2:3">
      <c r="B816" s="10"/>
      <c r="C816" t="str">
        <f>IF(B816="","",IF(COUNTIF(موجودی!$C$2:$C$839,"*"&amp;B816&amp;"*")&gt;0,"موجود","مغایرت"))</f>
        <v/>
      </c>
    </row>
    <row r="817" spans="2:3">
      <c r="B817" s="10"/>
      <c r="C817" t="str">
        <f>IF(B817="","",IF(COUNTIF(موجودی!$C$2:$C$839,"*"&amp;B817&amp;"*")&gt;0,"موجود","مغایرت"))</f>
        <v/>
      </c>
    </row>
    <row r="818" spans="2:3">
      <c r="B818" s="10"/>
      <c r="C818" t="str">
        <f>IF(B818="","",IF(COUNTIF(موجودی!$C$2:$C$839,"*"&amp;B818&amp;"*")&gt;0,"موجود","مغایرت"))</f>
        <v/>
      </c>
    </row>
    <row r="819" spans="2:3">
      <c r="B819" s="10"/>
      <c r="C819" t="str">
        <f>IF(B819="","",IF(COUNTIF(موجودی!$C$2:$C$839,"*"&amp;B819&amp;"*")&gt;0,"موجود","مغایرت"))</f>
        <v/>
      </c>
    </row>
    <row r="820" spans="2:3">
      <c r="B820" s="10"/>
      <c r="C820" t="str">
        <f>IF(B820="","",IF(COUNTIF(موجودی!$C$2:$C$839,"*"&amp;B820&amp;"*")&gt;0,"موجود","مغایرت"))</f>
        <v/>
      </c>
    </row>
    <row r="821" spans="2:3">
      <c r="B821" s="10"/>
      <c r="C821" t="str">
        <f>IF(B821="","",IF(COUNTIF(موجودی!$C$2:$C$839,"*"&amp;B821&amp;"*")&gt;0,"موجود","مغایرت"))</f>
        <v/>
      </c>
    </row>
    <row r="822" spans="2:3">
      <c r="B822" s="10"/>
      <c r="C822" t="str">
        <f>IF(B822="","",IF(COUNTIF(موجودی!$C$2:$C$839,"*"&amp;B822&amp;"*")&gt;0,"موجود","مغایرت"))</f>
        <v/>
      </c>
    </row>
    <row r="823" spans="2:3">
      <c r="B823" s="10"/>
      <c r="C823" t="str">
        <f>IF(B823="","",IF(COUNTIF(موجودی!$C$2:$C$839,"*"&amp;B823&amp;"*")&gt;0,"موجود","مغایرت"))</f>
        <v/>
      </c>
    </row>
    <row r="824" spans="2:3">
      <c r="B824" s="10"/>
      <c r="C824" t="str">
        <f>IF(B824="","",IF(COUNTIF(موجودی!$C$2:$C$839,"*"&amp;B824&amp;"*")&gt;0,"موجود","مغایرت"))</f>
        <v/>
      </c>
    </row>
    <row r="825" spans="2:3">
      <c r="B825" s="10"/>
      <c r="C825" t="str">
        <f>IF(B825="","",IF(COUNTIF(موجودی!$C$2:$C$839,"*"&amp;B825&amp;"*")&gt;0,"موجود","مغایرت"))</f>
        <v/>
      </c>
    </row>
    <row r="826" spans="2:3">
      <c r="B826" s="10"/>
      <c r="C826" t="str">
        <f>IF(B826="","",IF(COUNTIF(موجودی!$C$2:$C$839,"*"&amp;B826&amp;"*")&gt;0,"موجود","مغایرت"))</f>
        <v/>
      </c>
    </row>
    <row r="827" spans="2:3">
      <c r="B827" s="10"/>
      <c r="C827" t="str">
        <f>IF(B827="","",IF(COUNTIF(موجودی!$C$2:$C$839,"*"&amp;B827&amp;"*")&gt;0,"موجود","مغایرت"))</f>
        <v/>
      </c>
    </row>
    <row r="828" spans="2:3">
      <c r="B828" s="10"/>
      <c r="C828" t="str">
        <f>IF(B828="","",IF(COUNTIF(موجودی!$C$2:$C$839,"*"&amp;B828&amp;"*")&gt;0,"موجود","مغایرت"))</f>
        <v/>
      </c>
    </row>
    <row r="829" spans="2:3">
      <c r="B829" s="10"/>
      <c r="C829" t="str">
        <f>IF(B829="","",IF(COUNTIF(موجودی!$C$2:$C$839,"*"&amp;B829&amp;"*")&gt;0,"موجود","مغایرت"))</f>
        <v/>
      </c>
    </row>
    <row r="830" spans="2:3">
      <c r="B830" s="10"/>
      <c r="C830" t="str">
        <f>IF(B830="","",IF(COUNTIF(موجودی!$C$2:$C$839,"*"&amp;B830&amp;"*")&gt;0,"موجود","مغایرت"))</f>
        <v/>
      </c>
    </row>
    <row r="831" spans="2:3">
      <c r="B831" s="10"/>
      <c r="C831" t="str">
        <f>IF(B831="","",IF(COUNTIF(موجودی!$C$2:$C$839,"*"&amp;B831&amp;"*")&gt;0,"موجود","مغایرت"))</f>
        <v/>
      </c>
    </row>
    <row r="832" spans="2:3">
      <c r="B832" s="10"/>
      <c r="C832" t="str">
        <f>IF(B832="","",IF(COUNTIF(موجودی!$C$2:$C$839,"*"&amp;B832&amp;"*")&gt;0,"موجود","مغایرت"))</f>
        <v/>
      </c>
    </row>
    <row r="833" spans="2:3">
      <c r="B833" s="10"/>
      <c r="C833" t="str">
        <f>IF(B833="","",IF(COUNTIF(موجودی!$C$2:$C$839,"*"&amp;B833&amp;"*")&gt;0,"موجود","مغایرت"))</f>
        <v/>
      </c>
    </row>
    <row r="834" spans="2:3">
      <c r="B834" s="10"/>
      <c r="C834" t="str">
        <f>IF(B834="","",IF(COUNTIF(موجودی!$C$2:$C$839,"*"&amp;B834&amp;"*")&gt;0,"موجود","مغایرت"))</f>
        <v/>
      </c>
    </row>
    <row r="835" spans="2:3">
      <c r="B835" s="10"/>
      <c r="C835" t="str">
        <f>IF(B835="","",IF(COUNTIF(موجودی!$C$2:$C$839,"*"&amp;B835&amp;"*")&gt;0,"موجود","مغایرت"))</f>
        <v/>
      </c>
    </row>
    <row r="836" spans="2:3">
      <c r="B836" s="10"/>
      <c r="C836" t="str">
        <f>IF(B836="","",IF(COUNTIF(موجودی!$C$2:$C$839,"*"&amp;B836&amp;"*")&gt;0,"موجود","مغایرت"))</f>
        <v/>
      </c>
    </row>
    <row r="837" spans="2:3">
      <c r="B837" s="10"/>
      <c r="C837" t="str">
        <f>IF(B837="","",IF(COUNTIF(موجودی!$C$2:$C$839,"*"&amp;B837&amp;"*")&gt;0,"موجود","مغایرت"))</f>
        <v/>
      </c>
    </row>
    <row r="838" spans="2:3">
      <c r="B838" s="10"/>
      <c r="C838" t="str">
        <f>IF(B838="","",IF(COUNTIF(موجودی!$C$2:$C$839,"*"&amp;B838&amp;"*")&gt;0,"موجود","مغایرت"))</f>
        <v/>
      </c>
    </row>
    <row r="839" spans="2:3">
      <c r="B839" s="10"/>
      <c r="C839" t="str">
        <f>IF(B839="","",IF(COUNTIF(موجودی!$C$2:$C$839,"*"&amp;B839&amp;"*")&gt;0,"موجود","مغایرت"))</f>
        <v/>
      </c>
    </row>
    <row r="840" spans="2:3">
      <c r="B840" s="10"/>
      <c r="C840" t="str">
        <f>IF(B840="","",IF(COUNTIF(موجودی!$C$2:$C$839,"*"&amp;B840&amp;"*")&gt;0,"موجود","مغایرت"))</f>
        <v/>
      </c>
    </row>
    <row r="841" spans="2:3">
      <c r="B841" s="10"/>
      <c r="C841" t="str">
        <f>IF(B841="","",IF(COUNTIF(موجودی!$C$2:$C$839,"*"&amp;B841&amp;"*")&gt;0,"موجود","مغایرت"))</f>
        <v/>
      </c>
    </row>
    <row r="842" spans="2:3">
      <c r="B842" s="10"/>
      <c r="C842" t="str">
        <f>IF(B842="","",IF(COUNTIF(موجودی!$C$2:$C$839,"*"&amp;B842&amp;"*")&gt;0,"موجود","مغایرت"))</f>
        <v/>
      </c>
    </row>
    <row r="843" spans="2:3">
      <c r="B843" s="10"/>
      <c r="C843" t="str">
        <f>IF(B843="","",IF(COUNTIF(موجودی!$C$2:$C$839,"*"&amp;B843&amp;"*")&gt;0,"موجود","مغایرت"))</f>
        <v/>
      </c>
    </row>
    <row r="844" spans="2:3">
      <c r="B844" s="10"/>
      <c r="C844" t="str">
        <f>IF(B844="","",IF(COUNTIF(موجودی!$C$2:$C$839,"*"&amp;B844&amp;"*")&gt;0,"موجود","مغایرت"))</f>
        <v/>
      </c>
    </row>
    <row r="845" spans="2:3">
      <c r="B845" s="10"/>
      <c r="C845" t="str">
        <f>IF(B845="","",IF(COUNTIF(موجودی!$C$2:$C$839,"*"&amp;B845&amp;"*")&gt;0,"موجود","مغایرت"))</f>
        <v/>
      </c>
    </row>
    <row r="846" spans="2:3">
      <c r="B846" s="10"/>
      <c r="C846" t="str">
        <f>IF(B846="","",IF(COUNTIF(موجودی!$C$2:$C$839,"*"&amp;B846&amp;"*")&gt;0,"موجود","مغایرت"))</f>
        <v/>
      </c>
    </row>
    <row r="847" spans="2:3">
      <c r="B847" s="10"/>
      <c r="C847" t="str">
        <f>IF(B847="","",IF(COUNTIF(موجودی!$C$2:$C$839,"*"&amp;B847&amp;"*")&gt;0,"موجود","مغایرت"))</f>
        <v/>
      </c>
    </row>
    <row r="848" spans="2:3">
      <c r="B848" s="10"/>
      <c r="C848" t="str">
        <f>IF(B848="","",IF(COUNTIF(موجودی!$C$2:$C$839,"*"&amp;B848&amp;"*")&gt;0,"موجود","مغایرت"))</f>
        <v/>
      </c>
    </row>
    <row r="849" spans="2:3">
      <c r="B849" s="10"/>
      <c r="C849" t="str">
        <f>IF(B849="","",IF(COUNTIF(موجودی!$C$2:$C$839,"*"&amp;B849&amp;"*")&gt;0,"موجود","مغایرت"))</f>
        <v/>
      </c>
    </row>
    <row r="850" spans="2:3">
      <c r="B850" s="10"/>
      <c r="C850" t="str">
        <f>IF(B850="","",IF(COUNTIF(موجودی!$C$2:$C$839,"*"&amp;B850&amp;"*")&gt;0,"موجود","مغایرت"))</f>
        <v/>
      </c>
    </row>
    <row r="851" spans="2:3">
      <c r="B851" s="10"/>
      <c r="C851" t="str">
        <f>IF(B851="","",IF(COUNTIF(موجودی!$C$2:$C$839,"*"&amp;B851&amp;"*")&gt;0,"موجود","مغایرت"))</f>
        <v/>
      </c>
    </row>
    <row r="852" spans="2:3">
      <c r="B852" s="10"/>
      <c r="C852" t="str">
        <f>IF(B852="","",IF(COUNTIF(موجودی!$C$2:$C$839,"*"&amp;B852&amp;"*")&gt;0,"موجود","مغایرت"))</f>
        <v/>
      </c>
    </row>
    <row r="853" spans="2:3">
      <c r="B853" s="10"/>
      <c r="C853" t="str">
        <f>IF(B853="","",IF(COUNTIF(موجودی!$C$2:$C$839,"*"&amp;B853&amp;"*")&gt;0,"موجود","مغایرت"))</f>
        <v/>
      </c>
    </row>
    <row r="854" spans="2:3">
      <c r="B854" s="10"/>
      <c r="C854" t="str">
        <f>IF(B854="","",IF(COUNTIF(موجودی!$C$2:$C$839,"*"&amp;B854&amp;"*")&gt;0,"موجود","مغایرت"))</f>
        <v/>
      </c>
    </row>
    <row r="855" spans="2:3">
      <c r="B855" s="10"/>
      <c r="C855" t="str">
        <f>IF(B855="","",IF(COUNTIF(موجودی!$C$2:$C$839,"*"&amp;B855&amp;"*")&gt;0,"موجود","مغایرت"))</f>
        <v/>
      </c>
    </row>
    <row r="856" spans="2:3">
      <c r="B856" s="10"/>
      <c r="C856" t="str">
        <f>IF(B856="","",IF(COUNTIF(موجودی!$C$2:$C$839,"*"&amp;B856&amp;"*")&gt;0,"موجود","مغایرت"))</f>
        <v/>
      </c>
    </row>
    <row r="857" spans="2:3">
      <c r="B857" s="10"/>
      <c r="C857" t="str">
        <f>IF(B857="","",IF(COUNTIF(موجودی!$C$2:$C$839,"*"&amp;B857&amp;"*")&gt;0,"موجود","مغایرت"))</f>
        <v/>
      </c>
    </row>
    <row r="858" spans="2:3">
      <c r="B858" s="10"/>
      <c r="C858" t="str">
        <f>IF(B858="","",IF(COUNTIF(موجودی!$C$2:$C$839,"*"&amp;B858&amp;"*")&gt;0,"موجود","مغایرت"))</f>
        <v/>
      </c>
    </row>
    <row r="859" spans="2:3">
      <c r="B859" s="10"/>
      <c r="C859" t="str">
        <f>IF(B859="","",IF(COUNTIF(موجودی!$C$2:$C$839,"*"&amp;B859&amp;"*")&gt;0,"موجود","مغایرت"))</f>
        <v/>
      </c>
    </row>
    <row r="860" spans="2:3">
      <c r="B860" s="10"/>
      <c r="C860" t="str">
        <f>IF(B860="","",IF(COUNTIF(موجودی!$C$2:$C$839,"*"&amp;B860&amp;"*")&gt;0,"موجود","مغایرت"))</f>
        <v/>
      </c>
    </row>
    <row r="861" spans="2:3">
      <c r="B861" s="10"/>
      <c r="C861" t="str">
        <f>IF(B861="","",IF(COUNTIF(موجودی!$C$2:$C$839,"*"&amp;B861&amp;"*")&gt;0,"موجود","مغایرت"))</f>
        <v/>
      </c>
    </row>
    <row r="862" spans="2:3">
      <c r="B862" s="10"/>
      <c r="C862" t="str">
        <f>IF(B862="","",IF(COUNTIF(موجودی!$C$2:$C$839,"*"&amp;B862&amp;"*")&gt;0,"موجود","مغایرت"))</f>
        <v/>
      </c>
    </row>
    <row r="863" spans="2:3">
      <c r="B863" s="10"/>
      <c r="C863" t="str">
        <f>IF(B863="","",IF(COUNTIF(موجودی!$C$2:$C$839,"*"&amp;B863&amp;"*")&gt;0,"موجود","مغایرت"))</f>
        <v/>
      </c>
    </row>
    <row r="864" spans="2:3">
      <c r="B864" s="10"/>
      <c r="C864" t="str">
        <f>IF(B864="","",IF(COUNTIF(موجودی!$C$2:$C$839,"*"&amp;B864&amp;"*")&gt;0,"موجود","مغایرت"))</f>
        <v/>
      </c>
    </row>
    <row r="865" spans="2:3">
      <c r="B865" s="10"/>
      <c r="C865" t="str">
        <f>IF(B865="","",IF(COUNTIF(موجودی!$C$2:$C$839,"*"&amp;B865&amp;"*")&gt;0,"موجود","مغایرت"))</f>
        <v/>
      </c>
    </row>
    <row r="866" spans="2:3">
      <c r="B866" s="10"/>
      <c r="C866" t="str">
        <f>IF(B866="","",IF(COUNTIF(موجودی!$C$2:$C$839,"*"&amp;B866&amp;"*")&gt;0,"موجود","مغایرت"))</f>
        <v/>
      </c>
    </row>
    <row r="867" spans="2:3">
      <c r="B867" s="10"/>
      <c r="C867" t="str">
        <f>IF(B867="","",IF(COUNTIF(موجودی!$C$2:$C$839,"*"&amp;B867&amp;"*")&gt;0,"موجود","مغایرت"))</f>
        <v/>
      </c>
    </row>
    <row r="868" spans="2:3">
      <c r="B868" s="10"/>
      <c r="C868" t="str">
        <f>IF(B868="","",IF(COUNTIF(موجودی!$C$2:$C$839,"*"&amp;B868&amp;"*")&gt;0,"موجود","مغایرت"))</f>
        <v/>
      </c>
    </row>
    <row r="869" spans="2:3">
      <c r="B869" s="10"/>
      <c r="C869" t="str">
        <f>IF(B869="","",IF(COUNTIF(موجودی!$C$2:$C$839,"*"&amp;B869&amp;"*")&gt;0,"موجود","مغایرت"))</f>
        <v/>
      </c>
    </row>
    <row r="870" spans="2:3">
      <c r="B870" s="10"/>
      <c r="C870" t="str">
        <f>IF(B870="","",IF(COUNTIF(موجودی!$C$2:$C$839,"*"&amp;B870&amp;"*")&gt;0,"موجود","مغایرت"))</f>
        <v/>
      </c>
    </row>
    <row r="871" spans="2:3">
      <c r="B871" s="10"/>
      <c r="C871" t="str">
        <f>IF(B871="","",IF(COUNTIF(موجودی!$C$2:$C$839,"*"&amp;B871&amp;"*")&gt;0,"موجود","مغایرت"))</f>
        <v/>
      </c>
    </row>
    <row r="872" spans="2:3">
      <c r="B872" s="10"/>
      <c r="C872" t="str">
        <f>IF(B872="","",IF(COUNTIF(موجودی!$C$2:$C$839,"*"&amp;B872&amp;"*")&gt;0,"موجود","مغایرت"))</f>
        <v/>
      </c>
    </row>
    <row r="873" spans="2:3">
      <c r="B873" s="10"/>
      <c r="C873" t="str">
        <f>IF(B873="","",IF(COUNTIF(موجودی!$C$2:$C$839,"*"&amp;B873&amp;"*")&gt;0,"موجود","مغایرت"))</f>
        <v/>
      </c>
    </row>
    <row r="874" spans="2:3">
      <c r="B874" s="10"/>
      <c r="C874" t="str">
        <f>IF(B874="","",IF(COUNTIF(موجودی!$C$2:$C$839,"*"&amp;B874&amp;"*")&gt;0,"موجود","مغایرت"))</f>
        <v/>
      </c>
    </row>
    <row r="875" spans="2:3">
      <c r="B875" s="10"/>
      <c r="C875" t="str">
        <f>IF(B875="","",IF(COUNTIF(موجودی!$C$2:$C$839,"*"&amp;B875&amp;"*")&gt;0,"موجود","مغایرت"))</f>
        <v/>
      </c>
    </row>
    <row r="876" spans="2:3">
      <c r="B876" s="10"/>
      <c r="C876" t="str">
        <f>IF(B876="","",IF(COUNTIF(موجودی!$C$2:$C$839,"*"&amp;B876&amp;"*")&gt;0,"موجود","مغایرت"))</f>
        <v/>
      </c>
    </row>
    <row r="877" spans="2:3">
      <c r="B877" s="10"/>
      <c r="C877" t="str">
        <f>IF(B877="","",IF(COUNTIF(موجودی!$C$2:$C$839,"*"&amp;B877&amp;"*")&gt;0,"موجود","مغایرت"))</f>
        <v/>
      </c>
    </row>
    <row r="878" spans="2:3">
      <c r="B878" s="10"/>
      <c r="C878" t="str">
        <f>IF(B878="","",IF(COUNTIF(موجودی!$C$2:$C$839,"*"&amp;B878&amp;"*")&gt;0,"موجود","مغایرت"))</f>
        <v/>
      </c>
    </row>
    <row r="879" spans="2:3">
      <c r="B879" s="10"/>
      <c r="C879" t="str">
        <f>IF(B879="","",IF(COUNTIF(موجودی!$C$2:$C$839,"*"&amp;B879&amp;"*")&gt;0,"موجود","مغایرت"))</f>
        <v/>
      </c>
    </row>
    <row r="880" spans="2:3">
      <c r="B880" s="10"/>
      <c r="C880" t="str">
        <f>IF(B880="","",IF(COUNTIF(موجودی!$C$2:$C$839,"*"&amp;B880&amp;"*")&gt;0,"موجود","مغایرت"))</f>
        <v/>
      </c>
    </row>
    <row r="881" spans="2:3">
      <c r="B881" s="10"/>
      <c r="C881" t="str">
        <f>IF(B881="","",IF(COUNTIF(موجودی!$C$2:$C$839,"*"&amp;B881&amp;"*")&gt;0,"موجود","مغایرت"))</f>
        <v/>
      </c>
    </row>
    <row r="882" spans="2:3">
      <c r="B882" s="10"/>
      <c r="C882" t="str">
        <f>IF(B882="","",IF(COUNTIF(موجودی!$C$2:$C$839,"*"&amp;B882&amp;"*")&gt;0,"موجود","مغایرت"))</f>
        <v/>
      </c>
    </row>
    <row r="883" spans="2:3">
      <c r="B883" s="10"/>
      <c r="C883" t="str">
        <f>IF(B883="","",IF(COUNTIF(موجودی!$C$2:$C$839,"*"&amp;B883&amp;"*")&gt;0,"موجود","مغایرت"))</f>
        <v/>
      </c>
    </row>
    <row r="884" spans="2:3">
      <c r="B884" s="10"/>
      <c r="C884" t="str">
        <f>IF(B884="","",IF(COUNTIF(موجودی!$C$2:$C$839,"*"&amp;B884&amp;"*")&gt;0,"موجود","مغایرت"))</f>
        <v/>
      </c>
    </row>
    <row r="885" spans="2:3">
      <c r="B885" s="10"/>
      <c r="C885" t="str">
        <f>IF(B885="","",IF(COUNTIF(موجودی!$C$2:$C$839,"*"&amp;B885&amp;"*")&gt;0,"موجود","مغایرت"))</f>
        <v/>
      </c>
    </row>
    <row r="886" spans="2:3">
      <c r="B886" s="10"/>
      <c r="C886" t="str">
        <f>IF(B886="","",IF(COUNTIF(موجودی!$C$2:$C$839,"*"&amp;B886&amp;"*")&gt;0,"موجود","مغایرت"))</f>
        <v/>
      </c>
    </row>
    <row r="887" spans="2:3">
      <c r="B887" s="10"/>
      <c r="C887" t="str">
        <f>IF(B887="","",IF(COUNTIF(موجودی!$C$2:$C$839,"*"&amp;B887&amp;"*")&gt;0,"موجود","مغایرت"))</f>
        <v/>
      </c>
    </row>
    <row r="888" spans="2:3">
      <c r="B888" s="10"/>
      <c r="C888" t="str">
        <f>IF(B888="","",IF(COUNTIF(موجودی!$C$2:$C$839,"*"&amp;B888&amp;"*")&gt;0,"موجود","مغایرت"))</f>
        <v/>
      </c>
    </row>
    <row r="889" spans="2:3">
      <c r="B889" s="10"/>
      <c r="C889" t="str">
        <f>IF(B889="","",IF(COUNTIF(موجودی!$C$2:$C$839,"*"&amp;B889&amp;"*")&gt;0,"موجود","مغایرت"))</f>
        <v/>
      </c>
    </row>
    <row r="890" spans="2:3">
      <c r="B890" s="10"/>
      <c r="C890" t="str">
        <f>IF(B890="","",IF(COUNTIF(موجودی!$C$2:$C$839,"*"&amp;B890&amp;"*")&gt;0,"موجود","مغایرت"))</f>
        <v/>
      </c>
    </row>
    <row r="891" spans="2:3">
      <c r="B891" s="10"/>
      <c r="C891" t="str">
        <f>IF(B891="","",IF(COUNTIF(موجودی!$C$2:$C$839,"*"&amp;B891&amp;"*")&gt;0,"موجود","مغایرت"))</f>
        <v/>
      </c>
    </row>
    <row r="892" spans="2:3">
      <c r="B892" s="10"/>
      <c r="C892" t="str">
        <f>IF(B892="","",IF(COUNTIF(موجودی!$C$2:$C$839,"*"&amp;B892&amp;"*")&gt;0,"موجود","مغایرت"))</f>
        <v/>
      </c>
    </row>
    <row r="893" spans="2:3">
      <c r="B893" s="10"/>
      <c r="C893" t="str">
        <f>IF(B893="","",IF(COUNTIF(موجودی!$C$2:$C$839,"*"&amp;B893&amp;"*")&gt;0,"موجود","مغایرت"))</f>
        <v/>
      </c>
    </row>
    <row r="894" spans="2:3">
      <c r="B894" s="10"/>
      <c r="C894" t="str">
        <f>IF(B894="","",IF(COUNTIF(موجودی!$C$2:$C$839,"*"&amp;B894&amp;"*")&gt;0,"موجود","مغایرت"))</f>
        <v/>
      </c>
    </row>
    <row r="895" spans="2:3">
      <c r="B895" s="10"/>
      <c r="C895" t="str">
        <f>IF(B895="","",IF(COUNTIF(موجودی!$C$2:$C$839,"*"&amp;B895&amp;"*")&gt;0,"موجود","مغایرت"))</f>
        <v/>
      </c>
    </row>
    <row r="896" spans="2:3">
      <c r="B896" s="10"/>
      <c r="C896" t="str">
        <f>IF(B896="","",IF(COUNTIF(موجودی!$C$2:$C$839,"*"&amp;B896&amp;"*")&gt;0,"موجود","مغایرت"))</f>
        <v/>
      </c>
    </row>
    <row r="897" spans="2:3">
      <c r="B897" s="10"/>
      <c r="C897" t="str">
        <f>IF(B897="","",IF(COUNTIF(موجودی!$C$2:$C$839,"*"&amp;B897&amp;"*")&gt;0,"موجود","مغایرت"))</f>
        <v/>
      </c>
    </row>
    <row r="898" spans="2:3">
      <c r="B898" s="10"/>
      <c r="C898" t="str">
        <f>IF(B898="","",IF(COUNTIF(موجودی!$C$2:$C$839,"*"&amp;B898&amp;"*")&gt;0,"موجود","مغایرت"))</f>
        <v/>
      </c>
    </row>
    <row r="899" spans="2:3">
      <c r="B899" s="10"/>
      <c r="C899" t="str">
        <f>IF(B899="","",IF(COUNTIF(موجودی!$C$2:$C$839,"*"&amp;B899&amp;"*")&gt;0,"موجود","مغایرت"))</f>
        <v/>
      </c>
    </row>
    <row r="900" spans="2:3">
      <c r="B900" s="10"/>
      <c r="C900" t="str">
        <f>IF(B900="","",IF(COUNTIF(موجودی!$C$2:$C$839,"*"&amp;B900&amp;"*")&gt;0,"موجود","مغایرت"))</f>
        <v/>
      </c>
    </row>
    <row r="901" spans="2:3">
      <c r="B901" s="10"/>
      <c r="C901" t="str">
        <f>IF(B901="","",IF(COUNTIF(موجودی!$C$2:$C$839,"*"&amp;B901&amp;"*")&gt;0,"موجود","مغایرت"))</f>
        <v/>
      </c>
    </row>
    <row r="902" spans="2:3">
      <c r="B902" s="10"/>
      <c r="C902" t="str">
        <f>IF(B902="","",IF(COUNTIF(موجودی!$C$2:$C$839,"*"&amp;B902&amp;"*")&gt;0,"موجود","مغایرت"))</f>
        <v/>
      </c>
    </row>
    <row r="903" spans="2:3">
      <c r="B903" s="10"/>
      <c r="C903" t="str">
        <f>IF(B903="","",IF(COUNTIF(موجودی!$C$2:$C$839,"*"&amp;B903&amp;"*")&gt;0,"موجود","مغایرت"))</f>
        <v/>
      </c>
    </row>
    <row r="904" spans="2:3">
      <c r="B904" s="10"/>
      <c r="C904" t="str">
        <f>IF(B904="","",IF(COUNTIF(موجودی!$C$2:$C$839,"*"&amp;B904&amp;"*")&gt;0,"موجود","مغایرت"))</f>
        <v/>
      </c>
    </row>
    <row r="905" spans="2:3">
      <c r="B905" s="10"/>
      <c r="C905" t="str">
        <f>IF(B905="","",IF(COUNTIF(موجودی!$C$2:$C$839,"*"&amp;B905&amp;"*")&gt;0,"موجود","مغایرت"))</f>
        <v/>
      </c>
    </row>
    <row r="906" spans="2:3">
      <c r="B906" s="10"/>
      <c r="C906" t="str">
        <f>IF(B906="","",IF(COUNTIF(موجودی!$C$2:$C$839,"*"&amp;B906&amp;"*")&gt;0,"موجود","مغایرت"))</f>
        <v/>
      </c>
    </row>
    <row r="907" spans="2:3">
      <c r="B907" s="10"/>
      <c r="C907" t="str">
        <f>IF(B907="","",IF(COUNTIF(موجودی!$C$2:$C$839,"*"&amp;B907&amp;"*")&gt;0,"موجود","مغایرت"))</f>
        <v/>
      </c>
    </row>
    <row r="908" spans="2:3">
      <c r="B908" s="10"/>
      <c r="C908" t="str">
        <f>IF(B908="","",IF(COUNTIF(موجودی!$C$2:$C$839,"*"&amp;B908&amp;"*")&gt;0,"موجود","مغایرت"))</f>
        <v/>
      </c>
    </row>
    <row r="909" spans="2:3">
      <c r="B909" s="10"/>
      <c r="C909" t="str">
        <f>IF(B909="","",IF(COUNTIF(موجودی!$C$2:$C$839,"*"&amp;B909&amp;"*")&gt;0,"موجود","مغایرت"))</f>
        <v/>
      </c>
    </row>
    <row r="910" spans="2:3">
      <c r="B910" s="10"/>
      <c r="C910" t="str">
        <f>IF(B910="","",IF(COUNTIF(موجودی!$C$2:$C$839,"*"&amp;B910&amp;"*")&gt;0,"موجود","مغایرت"))</f>
        <v/>
      </c>
    </row>
    <row r="911" spans="2:3">
      <c r="B911" s="10"/>
      <c r="C911" t="str">
        <f>IF(B911="","",IF(COUNTIF(موجودی!$C$2:$C$839,"*"&amp;B911&amp;"*")&gt;0,"موجود","مغایرت"))</f>
        <v/>
      </c>
    </row>
    <row r="912" spans="2:3">
      <c r="B912" s="10"/>
      <c r="C912" t="str">
        <f>IF(B912="","",IF(COUNTIF(موجودی!$C$2:$C$839,"*"&amp;B912&amp;"*")&gt;0,"موجود","مغایرت"))</f>
        <v/>
      </c>
    </row>
    <row r="913" spans="2:3">
      <c r="B913" s="10"/>
      <c r="C913" t="str">
        <f>IF(B913="","",IF(COUNTIF(موجودی!$C$2:$C$839,"*"&amp;B913&amp;"*")&gt;0,"موجود","مغایرت"))</f>
        <v/>
      </c>
    </row>
    <row r="914" spans="2:3">
      <c r="B914" s="10"/>
      <c r="C914" t="str">
        <f>IF(B914="","",IF(COUNTIF(موجودی!$C$2:$C$839,"*"&amp;B914&amp;"*")&gt;0,"موجود","مغایرت"))</f>
        <v/>
      </c>
    </row>
    <row r="915" spans="2:3">
      <c r="B915" s="10"/>
      <c r="C915" t="str">
        <f>IF(B915="","",IF(COUNTIF(موجودی!$C$2:$C$839,"*"&amp;B915&amp;"*")&gt;0,"موجود","مغایرت"))</f>
        <v/>
      </c>
    </row>
    <row r="916" spans="2:3">
      <c r="B916" s="10"/>
      <c r="C916" t="str">
        <f>IF(B916="","",IF(COUNTIF(موجودی!$C$2:$C$839,"*"&amp;B916&amp;"*")&gt;0,"موجود","مغایرت"))</f>
        <v/>
      </c>
    </row>
    <row r="917" spans="2:3">
      <c r="B917" s="10"/>
      <c r="C917" t="str">
        <f>IF(B917="","",IF(COUNTIF(موجودی!$C$2:$C$839,"*"&amp;B917&amp;"*")&gt;0,"موجود","مغایرت"))</f>
        <v/>
      </c>
    </row>
    <row r="918" spans="2:3">
      <c r="B918" s="10"/>
      <c r="C918" t="str">
        <f>IF(B918="","",IF(COUNTIF(موجودی!$C$2:$C$839,"*"&amp;B918&amp;"*")&gt;0,"موجود","مغایرت"))</f>
        <v/>
      </c>
    </row>
    <row r="919" spans="2:3">
      <c r="B919" s="10"/>
      <c r="C919" t="str">
        <f>IF(B919="","",IF(COUNTIF(موجودی!$C$2:$C$839,"*"&amp;B919&amp;"*")&gt;0,"موجود","مغایرت"))</f>
        <v/>
      </c>
    </row>
    <row r="920" spans="2:3">
      <c r="B920" s="10"/>
      <c r="C920" t="str">
        <f>IF(B920="","",IF(COUNTIF(موجودی!$C$2:$C$839,"*"&amp;B920&amp;"*")&gt;0,"موجود","مغایرت"))</f>
        <v/>
      </c>
    </row>
    <row r="921" spans="2:3">
      <c r="B921" s="10"/>
      <c r="C921" t="str">
        <f>IF(B921="","",IF(COUNTIF(موجودی!$C$2:$C$839,"*"&amp;B921&amp;"*")&gt;0,"موجود","مغایرت"))</f>
        <v/>
      </c>
    </row>
    <row r="922" spans="2:3">
      <c r="B922" s="10"/>
      <c r="C922" t="str">
        <f>IF(B922="","",IF(COUNTIF(موجودی!$C$2:$C$839,"*"&amp;B922&amp;"*")&gt;0,"موجود","مغایرت"))</f>
        <v/>
      </c>
    </row>
    <row r="923" spans="2:3">
      <c r="B923" s="10"/>
      <c r="C923" t="str">
        <f>IF(B923="","",IF(COUNTIF(موجودی!$C$2:$C$839,"*"&amp;B923&amp;"*")&gt;0,"موجود","مغایرت"))</f>
        <v/>
      </c>
    </row>
    <row r="924" spans="2:3">
      <c r="B924" s="10"/>
      <c r="C924" t="str">
        <f>IF(B924="","",IF(COUNTIF(موجودی!$C$2:$C$839,"*"&amp;B924&amp;"*")&gt;0,"موجود","مغایرت"))</f>
        <v/>
      </c>
    </row>
    <row r="925" spans="2:3">
      <c r="B925" s="10"/>
      <c r="C925" t="str">
        <f>IF(B925="","",IF(COUNTIF(موجودی!$C$2:$C$839,"*"&amp;B925&amp;"*")&gt;0,"موجود","مغایرت"))</f>
        <v/>
      </c>
    </row>
    <row r="926" spans="2:3">
      <c r="B926" s="10"/>
      <c r="C926" t="str">
        <f>IF(B926="","",IF(COUNTIF(موجودی!$C$2:$C$839,"*"&amp;B926&amp;"*")&gt;0,"موجود","مغایرت"))</f>
        <v/>
      </c>
    </row>
    <row r="927" spans="2:3">
      <c r="B927" s="10"/>
      <c r="C927" t="str">
        <f>IF(B927="","",IF(COUNTIF(موجودی!$C$2:$C$839,"*"&amp;B927&amp;"*")&gt;0,"موجود","مغایرت"))</f>
        <v/>
      </c>
    </row>
    <row r="928" spans="2:3">
      <c r="B928" s="10"/>
      <c r="C928" t="str">
        <f>IF(B928="","",IF(COUNTIF(موجودی!$C$2:$C$839,"*"&amp;B928&amp;"*")&gt;0,"موجود","مغایرت"))</f>
        <v/>
      </c>
    </row>
    <row r="929" spans="2:3">
      <c r="B929" s="10"/>
      <c r="C929" t="str">
        <f>IF(B929="","",IF(COUNTIF(موجودی!$C$2:$C$839,"*"&amp;B929&amp;"*")&gt;0,"موجود","مغایرت"))</f>
        <v/>
      </c>
    </row>
    <row r="930" spans="2:3">
      <c r="B930" s="10"/>
      <c r="C930" t="str">
        <f>IF(B930="","",IF(COUNTIF(موجودی!$C$2:$C$839,"*"&amp;B930&amp;"*")&gt;0,"موجود","مغایرت"))</f>
        <v/>
      </c>
    </row>
    <row r="931" spans="2:3">
      <c r="B931" s="10"/>
      <c r="C931" t="str">
        <f>IF(B931="","",IF(COUNTIF(موجودی!$C$2:$C$839,"*"&amp;B931&amp;"*")&gt;0,"موجود","مغایرت"))</f>
        <v/>
      </c>
    </row>
    <row r="932" spans="2:3">
      <c r="B932" s="10"/>
      <c r="C932" t="str">
        <f>IF(B932="","",IF(COUNTIF(موجودی!$C$2:$C$839,"*"&amp;B932&amp;"*")&gt;0,"موجود","مغایرت"))</f>
        <v/>
      </c>
    </row>
    <row r="933" spans="2:3">
      <c r="B933" s="10"/>
      <c r="C933" t="str">
        <f>IF(B933="","",IF(COUNTIF(موجودی!$C$2:$C$839,"*"&amp;B933&amp;"*")&gt;0,"موجود","مغایرت"))</f>
        <v/>
      </c>
    </row>
    <row r="934" spans="2:3">
      <c r="B934" s="10"/>
      <c r="C934" t="str">
        <f>IF(B934="","",IF(COUNTIF(موجودی!$C$2:$C$839,"*"&amp;B934&amp;"*")&gt;0,"موجود","مغایرت"))</f>
        <v/>
      </c>
    </row>
    <row r="935" spans="2:3">
      <c r="B935" s="10"/>
      <c r="C935" t="str">
        <f>IF(B935="","",IF(COUNTIF(موجودی!$C$2:$C$839,"*"&amp;B935&amp;"*")&gt;0,"موجود","مغایرت"))</f>
        <v/>
      </c>
    </row>
    <row r="936" spans="2:3">
      <c r="B936" s="10"/>
      <c r="C936" t="str">
        <f>IF(B936="","",IF(COUNTIF(موجودی!$C$2:$C$839,"*"&amp;B936&amp;"*")&gt;0,"موجود","مغایرت"))</f>
        <v/>
      </c>
    </row>
    <row r="937" spans="2:3">
      <c r="B937" s="10"/>
      <c r="C937" t="str">
        <f>IF(B937="","",IF(COUNTIF(موجودی!$C$2:$C$839,"*"&amp;B937&amp;"*")&gt;0,"موجود","مغایرت"))</f>
        <v/>
      </c>
    </row>
    <row r="938" spans="2:3">
      <c r="B938" s="10"/>
      <c r="C938" t="str">
        <f>IF(B938="","",IF(COUNTIF(موجودی!$C$2:$C$839,"*"&amp;B938&amp;"*")&gt;0,"موجود","مغایرت"))</f>
        <v/>
      </c>
    </row>
    <row r="939" spans="2:3">
      <c r="B939" s="10"/>
      <c r="C939" t="str">
        <f>IF(B939="","",IF(COUNTIF(موجودی!$C$2:$C$839,"*"&amp;B939&amp;"*")&gt;0,"موجود","مغایرت"))</f>
        <v/>
      </c>
    </row>
    <row r="940" spans="2:3">
      <c r="B940" s="10"/>
      <c r="C940" t="str">
        <f>IF(B940="","",IF(COUNTIF(موجودی!$C$2:$C$839,"*"&amp;B940&amp;"*")&gt;0,"موجود","مغایرت"))</f>
        <v/>
      </c>
    </row>
    <row r="941" spans="2:3">
      <c r="B941" s="10"/>
      <c r="C941" t="str">
        <f>IF(B941="","",IF(COUNTIF(موجودی!$C$2:$C$839,"*"&amp;B941&amp;"*")&gt;0,"موجود","مغایرت"))</f>
        <v/>
      </c>
    </row>
    <row r="942" spans="2:3">
      <c r="B942" s="10"/>
      <c r="C942" t="str">
        <f>IF(B942="","",IF(COUNTIF(موجودی!$C$2:$C$839,"*"&amp;B942&amp;"*")&gt;0,"موجود","مغایرت"))</f>
        <v/>
      </c>
    </row>
    <row r="943" spans="2:3">
      <c r="B943" s="10"/>
      <c r="C943" t="str">
        <f>IF(B943="","",IF(COUNTIF(موجودی!$C$2:$C$839,"*"&amp;B943&amp;"*")&gt;0,"موجود","مغایرت"))</f>
        <v/>
      </c>
    </row>
    <row r="944" spans="2:3">
      <c r="B944" s="10"/>
      <c r="C944" t="str">
        <f>IF(B944="","",IF(COUNTIF(موجودی!$C$2:$C$839,"*"&amp;B944&amp;"*")&gt;0,"موجود","مغایرت"))</f>
        <v/>
      </c>
    </row>
    <row r="945" spans="2:3">
      <c r="B945" s="10"/>
      <c r="C945" t="str">
        <f>IF(B945="","",IF(COUNTIF(موجودی!$C$2:$C$839,"*"&amp;B945&amp;"*")&gt;0,"موجود","مغایرت"))</f>
        <v/>
      </c>
    </row>
    <row r="946" spans="2:3">
      <c r="B946" s="10"/>
      <c r="C946" t="str">
        <f>IF(B946="","",IF(COUNTIF(موجودی!$C$2:$C$839,"*"&amp;B946&amp;"*")&gt;0,"موجود","مغایرت"))</f>
        <v/>
      </c>
    </row>
    <row r="947" spans="2:3">
      <c r="B947" s="10"/>
      <c r="C947" t="str">
        <f>IF(B947="","",IF(COUNTIF(موجودی!$C$2:$C$839,"*"&amp;B947&amp;"*")&gt;0,"موجود","مغایرت"))</f>
        <v/>
      </c>
    </row>
    <row r="948" spans="2:3">
      <c r="B948" s="10"/>
      <c r="C948" t="str">
        <f>IF(B948="","",IF(COUNTIF(موجودی!$C$2:$C$839,"*"&amp;B948&amp;"*")&gt;0,"موجود","مغایرت"))</f>
        <v/>
      </c>
    </row>
    <row r="949" spans="2:3">
      <c r="B949" s="10"/>
      <c r="C949" t="str">
        <f>IF(B949="","",IF(COUNTIF(موجودی!$C$2:$C$839,"*"&amp;B949&amp;"*")&gt;0,"موجود","مغایرت"))</f>
        <v/>
      </c>
    </row>
    <row r="950" spans="2:3">
      <c r="B950" s="10"/>
      <c r="C950" t="str">
        <f>IF(B950="","",IF(COUNTIF(موجودی!$C$2:$C$839,"*"&amp;B950&amp;"*")&gt;0,"موجود","مغایرت"))</f>
        <v/>
      </c>
    </row>
    <row r="951" spans="2:3">
      <c r="B951" s="10"/>
      <c r="C951" t="str">
        <f>IF(B951="","",IF(COUNTIF(موجودی!$C$2:$C$839,"*"&amp;B951&amp;"*")&gt;0,"موجود","مغایرت"))</f>
        <v/>
      </c>
    </row>
    <row r="952" spans="2:3">
      <c r="B952" s="10"/>
      <c r="C952" t="str">
        <f>IF(B952="","",IF(COUNTIF(موجودی!$C$2:$C$839,"*"&amp;B952&amp;"*")&gt;0,"موجود","مغایرت"))</f>
        <v/>
      </c>
    </row>
    <row r="953" spans="2:3">
      <c r="B953" s="10"/>
      <c r="C953" t="str">
        <f>IF(B953="","",IF(COUNTIF(موجودی!$C$2:$C$839,"*"&amp;B953&amp;"*")&gt;0,"موجود","مغایرت"))</f>
        <v/>
      </c>
    </row>
    <row r="954" spans="2:3">
      <c r="B954" s="10"/>
      <c r="C954" t="str">
        <f>IF(B954="","",IF(COUNTIF(موجودی!$C$2:$C$839,"*"&amp;B954&amp;"*")&gt;0,"موجود","مغایرت"))</f>
        <v/>
      </c>
    </row>
    <row r="955" spans="2:3">
      <c r="B955" s="10"/>
      <c r="C955" t="str">
        <f>IF(B955="","",IF(COUNTIF(موجودی!$C$2:$C$839,"*"&amp;B955&amp;"*")&gt;0,"موجود","مغایرت"))</f>
        <v/>
      </c>
    </row>
    <row r="956" spans="2:3">
      <c r="B956" s="10"/>
      <c r="C956" t="str">
        <f>IF(B956="","",IF(COUNTIF(موجودی!$C$2:$C$839,"*"&amp;B956&amp;"*")&gt;0,"موجود","مغایرت"))</f>
        <v/>
      </c>
    </row>
    <row r="957" spans="2:3">
      <c r="B957" s="10"/>
      <c r="C957" t="str">
        <f>IF(B957="","",IF(COUNTIF(موجودی!$C$2:$C$839,"*"&amp;B957&amp;"*")&gt;0,"موجود","مغایرت"))</f>
        <v/>
      </c>
    </row>
    <row r="958" spans="2:3">
      <c r="B958" s="10"/>
      <c r="C958" t="str">
        <f>IF(B958="","",IF(COUNTIF(موجودی!$C$2:$C$839,"*"&amp;B958&amp;"*")&gt;0,"موجود","مغایرت"))</f>
        <v/>
      </c>
    </row>
    <row r="959" spans="2:3">
      <c r="B959" s="10"/>
      <c r="C959" t="str">
        <f>IF(B959="","",IF(COUNTIF(موجودی!$C$2:$C$839,"*"&amp;B959&amp;"*")&gt;0,"موجود","مغایرت"))</f>
        <v/>
      </c>
    </row>
    <row r="960" spans="2:3">
      <c r="B960" s="10"/>
      <c r="C960" t="str">
        <f>IF(B960="","",IF(COUNTIF(موجودی!$C$2:$C$839,"*"&amp;B960&amp;"*")&gt;0,"موجود","مغایرت"))</f>
        <v/>
      </c>
    </row>
    <row r="961" spans="2:3">
      <c r="B961" s="10"/>
      <c r="C961" t="str">
        <f>IF(B961="","",IF(COUNTIF(موجودی!$C$2:$C$839,"*"&amp;B961&amp;"*")&gt;0,"موجود","مغایرت"))</f>
        <v/>
      </c>
    </row>
    <row r="962" spans="2:3">
      <c r="B962" s="10"/>
      <c r="C962" t="str">
        <f>IF(B962="","",IF(COUNTIF(موجودی!$C$2:$C$839,"*"&amp;B962&amp;"*")&gt;0,"موجود","مغایرت"))</f>
        <v/>
      </c>
    </row>
    <row r="963" spans="2:3">
      <c r="B963" s="10"/>
      <c r="C963" t="str">
        <f>IF(B963="","",IF(COUNTIF(موجودی!$C$2:$C$839,"*"&amp;B963&amp;"*")&gt;0,"موجود","مغایرت"))</f>
        <v/>
      </c>
    </row>
    <row r="964" spans="2:3">
      <c r="B964" s="10"/>
      <c r="C964" t="str">
        <f>IF(B964="","",IF(COUNTIF(موجودی!$C$2:$C$839,"*"&amp;B964&amp;"*")&gt;0,"موجود","مغایرت"))</f>
        <v/>
      </c>
    </row>
    <row r="965" spans="2:3">
      <c r="B965" s="10"/>
      <c r="C965" t="str">
        <f>IF(B965="","",IF(COUNTIF(موجودی!$C$2:$C$839,"*"&amp;B965&amp;"*")&gt;0,"موجود","مغایرت"))</f>
        <v/>
      </c>
    </row>
    <row r="966" spans="2:3">
      <c r="B966" s="10"/>
      <c r="C966" t="str">
        <f>IF(B966="","",IF(COUNTIF(موجودی!$C$2:$C$839,"*"&amp;B966&amp;"*")&gt;0,"موجود","مغایرت"))</f>
        <v/>
      </c>
    </row>
    <row r="967" spans="2:3">
      <c r="B967" s="10"/>
      <c r="C967" t="str">
        <f>IF(B967="","",IF(COUNTIF(موجودی!$C$2:$C$839,"*"&amp;B967&amp;"*")&gt;0,"موجود","مغایرت"))</f>
        <v/>
      </c>
    </row>
    <row r="968" spans="2:3">
      <c r="B968" s="10"/>
      <c r="C968" t="str">
        <f>IF(B968="","",IF(COUNTIF(موجودی!$C$2:$C$839,"*"&amp;B968&amp;"*")&gt;0,"موجود","مغایرت"))</f>
        <v/>
      </c>
    </row>
    <row r="969" spans="2:3">
      <c r="B969" s="10"/>
      <c r="C969" t="str">
        <f>IF(B969="","",IF(COUNTIF(موجودی!$C$2:$C$839,"*"&amp;B969&amp;"*")&gt;0,"موجود","مغایرت"))</f>
        <v/>
      </c>
    </row>
    <row r="970" spans="2:3">
      <c r="B970" s="10"/>
      <c r="C970" t="str">
        <f>IF(B970="","",IF(COUNTIF(موجودی!$C$2:$C$839,"*"&amp;B970&amp;"*")&gt;0,"موجود","مغایرت"))</f>
        <v/>
      </c>
    </row>
    <row r="971" spans="2:3">
      <c r="B971" s="10"/>
      <c r="C971" t="str">
        <f>IF(B971="","",IF(COUNTIF(موجودی!$C$2:$C$839,"*"&amp;B971&amp;"*")&gt;0,"موجود","مغایرت"))</f>
        <v/>
      </c>
    </row>
    <row r="972" spans="2:3">
      <c r="B972" s="10"/>
      <c r="C972" t="str">
        <f>IF(B972="","",IF(COUNTIF(موجودی!$C$2:$C$839,"*"&amp;B972&amp;"*")&gt;0,"موجود","مغایرت"))</f>
        <v/>
      </c>
    </row>
    <row r="973" spans="2:3">
      <c r="B973" s="10"/>
      <c r="C973" t="str">
        <f>IF(B973="","",IF(COUNTIF(موجودی!$C$2:$C$839,"*"&amp;B973&amp;"*")&gt;0,"موجود","مغایرت"))</f>
        <v/>
      </c>
    </row>
    <row r="974" spans="2:3">
      <c r="B974" s="10"/>
      <c r="C974" t="str">
        <f>IF(B974="","",IF(COUNTIF(موجودی!$C$2:$C$839,"*"&amp;B974&amp;"*")&gt;0,"موجود","مغایرت"))</f>
        <v/>
      </c>
    </row>
    <row r="975" spans="2:3">
      <c r="B975" s="10"/>
      <c r="C975" t="str">
        <f>IF(B975="","",IF(COUNTIF(موجودی!$C$2:$C$839,"*"&amp;B975&amp;"*")&gt;0,"موجود","مغایرت"))</f>
        <v/>
      </c>
    </row>
    <row r="976" spans="2:3">
      <c r="B976" s="10"/>
      <c r="C976" t="str">
        <f>IF(B976="","",IF(COUNTIF(موجودی!$C$2:$C$839,"*"&amp;B976&amp;"*")&gt;0,"موجود","مغایرت"))</f>
        <v/>
      </c>
    </row>
    <row r="977" spans="2:3">
      <c r="B977" s="10"/>
      <c r="C977" t="str">
        <f>IF(B977="","",IF(COUNTIF(موجودی!$C$2:$C$839,"*"&amp;B977&amp;"*")&gt;0,"موجود","مغایرت"))</f>
        <v/>
      </c>
    </row>
    <row r="978" spans="2:3">
      <c r="B978" s="10"/>
      <c r="C978" t="str">
        <f>IF(B978="","",IF(COUNTIF(موجودی!$C$2:$C$839,"*"&amp;B978&amp;"*")&gt;0,"موجود","مغایرت"))</f>
        <v/>
      </c>
    </row>
    <row r="979" spans="2:3">
      <c r="B979" s="10"/>
      <c r="C979" t="str">
        <f>IF(B979="","",IF(COUNTIF(موجودی!$C$2:$C$839,"*"&amp;B979&amp;"*")&gt;0,"موجود","مغایرت"))</f>
        <v/>
      </c>
    </row>
    <row r="980" spans="2:3">
      <c r="B980" s="10"/>
      <c r="C980" t="str">
        <f>IF(B980="","",IF(COUNTIF(موجودی!$C$2:$C$839,"*"&amp;B980&amp;"*")&gt;0,"موجود","مغایرت"))</f>
        <v/>
      </c>
    </row>
    <row r="981" spans="2:3">
      <c r="B981" s="10"/>
      <c r="C981" t="str">
        <f>IF(B981="","",IF(COUNTIF(موجودی!$C$2:$C$839,"*"&amp;B981&amp;"*")&gt;0,"موجود","مغایرت"))</f>
        <v/>
      </c>
    </row>
    <row r="982" spans="2:3">
      <c r="B982" s="10"/>
      <c r="C982" t="str">
        <f>IF(B982="","",IF(COUNTIF(موجودی!$C$2:$C$839,"*"&amp;B982&amp;"*")&gt;0,"موجود","مغایرت"))</f>
        <v/>
      </c>
    </row>
    <row r="983" spans="2:3">
      <c r="B983" s="10"/>
      <c r="C983" t="str">
        <f>IF(B983="","",IF(COUNTIF(موجودی!$C$2:$C$839,"*"&amp;B983&amp;"*")&gt;0,"موجود","مغایرت"))</f>
        <v/>
      </c>
    </row>
    <row r="984" spans="2:3">
      <c r="B984" s="10"/>
      <c r="C984" t="str">
        <f>IF(B984="","",IF(COUNTIF(موجودی!$C$2:$C$839,"*"&amp;B984&amp;"*")&gt;0,"موجود","مغایرت"))</f>
        <v/>
      </c>
    </row>
    <row r="985" spans="2:3">
      <c r="B985" s="10"/>
      <c r="C985" t="str">
        <f>IF(B985="","",IF(COUNTIF(موجودی!$C$2:$C$839,"*"&amp;B985&amp;"*")&gt;0,"موجود","مغایرت"))</f>
        <v/>
      </c>
    </row>
    <row r="986" spans="2:3">
      <c r="B986" s="10"/>
      <c r="C986" t="str">
        <f>IF(B986="","",IF(COUNTIF(موجودی!$C$2:$C$839,"*"&amp;B986&amp;"*")&gt;0,"موجود","مغایرت"))</f>
        <v/>
      </c>
    </row>
    <row r="987" spans="2:3">
      <c r="B987" s="10"/>
      <c r="C987" t="str">
        <f>IF(B987="","",IF(COUNTIF(موجودی!$C$2:$C$839,"*"&amp;B987&amp;"*")&gt;0,"موجود","مغایرت"))</f>
        <v/>
      </c>
    </row>
    <row r="988" spans="2:3">
      <c r="B988" s="10"/>
      <c r="C988" t="str">
        <f>IF(B988="","",IF(COUNTIF(موجودی!$C$2:$C$839,"*"&amp;B988&amp;"*")&gt;0,"موجود","مغایرت"))</f>
        <v/>
      </c>
    </row>
    <row r="989" spans="2:3">
      <c r="B989" s="10"/>
      <c r="C989" t="str">
        <f>IF(B989="","",IF(COUNTIF(موجودی!$C$2:$C$839,"*"&amp;B989&amp;"*")&gt;0,"موجود","مغایرت"))</f>
        <v/>
      </c>
    </row>
    <row r="990" spans="2:3">
      <c r="B990" s="10"/>
      <c r="C990" t="str">
        <f>IF(B990="","",IF(COUNTIF(موجودی!$C$2:$C$839,"*"&amp;B990&amp;"*")&gt;0,"موجود","مغایرت"))</f>
        <v/>
      </c>
    </row>
    <row r="991" spans="2:3">
      <c r="B991" s="10"/>
      <c r="C991" t="str">
        <f>IF(B991="","",IF(COUNTIF(موجودی!$C$2:$C$839,"*"&amp;B991&amp;"*")&gt;0,"موجود","مغایرت"))</f>
        <v/>
      </c>
    </row>
    <row r="992" spans="2:3">
      <c r="B992" s="10"/>
      <c r="C992" t="str">
        <f>IF(B992="","",IF(COUNTIF(موجودی!$C$2:$C$839,"*"&amp;B992&amp;"*")&gt;0,"موجود","مغایرت"))</f>
        <v/>
      </c>
    </row>
    <row r="993" spans="2:3">
      <c r="B993" s="10"/>
      <c r="C993" t="str">
        <f>IF(B993="","",IF(COUNTIF(موجودی!$C$2:$C$839,"*"&amp;B993&amp;"*")&gt;0,"موجود","مغایرت"))</f>
        <v/>
      </c>
    </row>
    <row r="994" spans="2:3">
      <c r="B994" s="10"/>
      <c r="C994" t="str">
        <f>IF(B994="","",IF(COUNTIF(موجودی!$C$2:$C$839,"*"&amp;B994&amp;"*")&gt;0,"موجود","مغایرت"))</f>
        <v/>
      </c>
    </row>
    <row r="995" spans="2:3">
      <c r="B995" s="10"/>
      <c r="C995" t="str">
        <f>IF(B995="","",IF(COUNTIF(موجودی!$C$2:$C$839,"*"&amp;B995&amp;"*")&gt;0,"موجود","مغایرت"))</f>
        <v/>
      </c>
    </row>
    <row r="996" spans="2:3">
      <c r="B996" s="10"/>
      <c r="C996" t="str">
        <f>IF(B996="","",IF(COUNTIF(موجودی!$C$2:$C$839,"*"&amp;B996&amp;"*")&gt;0,"موجود","مغایرت"))</f>
        <v/>
      </c>
    </row>
    <row r="997" spans="2:3">
      <c r="B997" s="10"/>
      <c r="C997" t="str">
        <f>IF(B997="","",IF(COUNTIF(موجودی!$C$2:$C$839,"*"&amp;B997&amp;"*")&gt;0,"موجود","مغایرت"))</f>
        <v/>
      </c>
    </row>
    <row r="998" spans="2:3">
      <c r="B998" s="10"/>
      <c r="C998" t="str">
        <f>IF(B998="","",IF(COUNTIF(موجودی!$C$2:$C$839,"*"&amp;B998&amp;"*")&gt;0,"موجود","مغایرت"))</f>
        <v/>
      </c>
    </row>
    <row r="999" spans="2:3">
      <c r="B999" s="10"/>
      <c r="C999" t="str">
        <f>IF(B999="","",IF(COUNTIF(موجودی!$C$2:$C$839,"*"&amp;B999&amp;"*")&gt;0,"موجود","مغایرت"))</f>
        <v/>
      </c>
    </row>
    <row r="1000" spans="2:3">
      <c r="B1000" s="10"/>
      <c r="C1000" t="str">
        <f>IF(B1000="","",IF(COUNTIF(موجودی!$C$2:$C$839,"*"&amp;B1000&amp;"*")&gt;0,"موجود","مغایرت"))</f>
        <v/>
      </c>
    </row>
    <row r="1001" spans="2:3">
      <c r="B1001" s="10"/>
      <c r="C1001" t="str">
        <f>IF(B1001="","",IF(COUNTIF(موجودی!$C$2:$C$839,"*"&amp;B1001&amp;"*")&gt;0,"موجود","مغایرت"))</f>
        <v/>
      </c>
    </row>
    <row r="1002" spans="2:3">
      <c r="B1002" s="10"/>
      <c r="C1002" t="str">
        <f>IF(B1002="","",IF(COUNTIF(موجودی!$C$2:$C$839,"*"&amp;B1002&amp;"*")&gt;0,"موجود","مغایرت"))</f>
        <v/>
      </c>
    </row>
    <row r="1003" spans="2:3">
      <c r="B1003" s="10"/>
      <c r="C1003" t="str">
        <f>IF(B1003="","",IF(COUNTIF(موجودی!$C$2:$C$839,"*"&amp;B1003&amp;"*")&gt;0,"موجود","مغایرت"))</f>
        <v/>
      </c>
    </row>
    <row r="1004" spans="2:3">
      <c r="B1004" s="10"/>
      <c r="C1004" t="str">
        <f>IF(B1004="","",IF(COUNTIF(موجودی!$C$2:$C$839,"*"&amp;B1004&amp;"*")&gt;0,"موجود","مغایرت"))</f>
        <v/>
      </c>
    </row>
    <row r="1005" spans="2:3">
      <c r="B1005" s="10"/>
      <c r="C1005" t="str">
        <f>IF(B1005="","",IF(COUNTIF(موجودی!$C$2:$C$839,"*"&amp;B1005&amp;"*")&gt;0,"موجود","مغایرت"))</f>
        <v/>
      </c>
    </row>
    <row r="1006" spans="2:3">
      <c r="B1006" s="10"/>
      <c r="C1006" t="str">
        <f>IF(B1006="","",IF(COUNTIF(موجودی!$C$2:$C$839,"*"&amp;B1006&amp;"*")&gt;0,"موجود","مغایرت"))</f>
        <v/>
      </c>
    </row>
    <row r="1007" spans="2:3">
      <c r="B1007" s="10"/>
      <c r="C1007" t="str">
        <f>IF(B1007="","",IF(COUNTIF(موجودی!$C$2:$C$839,"*"&amp;B1007&amp;"*")&gt;0,"موجود","مغایرت"))</f>
        <v/>
      </c>
    </row>
    <row r="1008" spans="2:3">
      <c r="B1008" s="10"/>
      <c r="C1008" t="str">
        <f>IF(B1008="","",IF(COUNTIF(موجودی!$C$2:$C$839,"*"&amp;B1008&amp;"*")&gt;0,"موجود","مغایرت"))</f>
        <v/>
      </c>
    </row>
    <row r="1009" spans="2:3">
      <c r="B1009" s="10"/>
      <c r="C1009" t="str">
        <f>IF(B1009="","",IF(COUNTIF(موجودی!$C$2:$C$839,"*"&amp;B1009&amp;"*")&gt;0,"موجود","مغایرت"))</f>
        <v/>
      </c>
    </row>
    <row r="1010" spans="2:3">
      <c r="B1010" s="10"/>
      <c r="C1010" t="str">
        <f>IF(B1010="","",IF(COUNTIF(موجودی!$C$2:$C$839,"*"&amp;B1010&amp;"*")&gt;0,"موجود","مغایرت"))</f>
        <v/>
      </c>
    </row>
  </sheetData>
  <mergeCells count="6">
    <mergeCell ref="A1:F1"/>
    <mergeCell ref="A2:F2"/>
    <mergeCell ref="E4:F4"/>
    <mergeCell ref="E5:F5"/>
    <mergeCell ref="E7:F7"/>
    <mergeCell ref="E8:F8"/>
  </mergeCells>
  <conditionalFormatting sqref="C11:C1010">
    <cfRule type="cellIs" dxfId="3" priority="1" operator="equal">
      <formula>"موجود"</formula>
    </cfRule>
  </conditionalFormatting>
  <conditionalFormatting sqref="C11:C1010">
    <cfRule type="cellIs" dxfId="2" priority="2" operator="equal">
      <formula>"مغایرت"</formula>
    </cfRule>
  </conditionalFormatting>
  <conditionalFormatting sqref="B11:C1010">
    <cfRule type="expression" dxfId="0" priority="3">
      <formula>ROW()=IFERROR(MATCH("",$B$11:$B$1010,0)+10,0)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3805-0D04-4358-9685-ABDA03BD0BE6}">
  <sheetPr>
    <tabColor rgb="FFC00000"/>
  </sheetPr>
  <dimension ref="A1:D6"/>
  <sheetViews>
    <sheetView showGridLines="0" rightToLeft="1" workbookViewId="0">
      <pane ySplit="4" topLeftCell="A5" activePane="bottomLeft" state="frozen"/>
      <selection pane="bottomLeft" sqref="A1:F1"/>
    </sheetView>
  </sheetViews>
  <sheetFormatPr defaultRowHeight="14.25"/>
  <cols>
    <col min="1" max="2" width="24.125" customWidth="1"/>
  </cols>
  <sheetData>
    <row r="1" spans="1:4" ht="20.25">
      <c r="A1" s="12" t="s">
        <v>893</v>
      </c>
      <c r="B1" s="12"/>
      <c r="C1" s="12"/>
      <c r="D1" s="12"/>
    </row>
    <row r="2" spans="1:4">
      <c r="A2" s="13" t="s">
        <v>894</v>
      </c>
      <c r="B2" s="13"/>
      <c r="C2" s="13"/>
      <c r="D2" s="13"/>
    </row>
    <row r="4" spans="1:4" ht="15">
      <c r="A4" s="14" t="s">
        <v>895</v>
      </c>
      <c r="B4" s="14" t="s">
        <v>892</v>
      </c>
    </row>
    <row r="5" spans="1:4">
      <c r="A5" t="str" cm="1">
        <f t="array" ref="A5:B6">_xlfn._xlws.FILTER('ثبت لیبل'!B11:C1010,'ثبت لیبل'!C11:C1010="مغایرت","مغایرتی ثبت نشده")</f>
        <v>00200</v>
      </c>
      <c r="B5" t="str">
        <v>مغایرت</v>
      </c>
    </row>
    <row r="6" spans="1:4">
      <c r="A6" t="str">
        <v>003000</v>
      </c>
      <c r="B6" t="str">
        <v>مغایرت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F36E-0DF3-4BA5-9CEE-D19CE5896991}">
  <sheetPr>
    <tabColor rgb="FF5B9BD5"/>
  </sheetPr>
  <dimension ref="A1:J105"/>
  <sheetViews>
    <sheetView showGridLines="0" rightToLeft="1" tabSelected="1" workbookViewId="0">
      <pane ySplit="4" topLeftCell="A15" activePane="bottomLeft" state="frozen"/>
      <selection pane="bottomLeft" activeCell="B15" sqref="B15"/>
    </sheetView>
  </sheetViews>
  <sheetFormatPr defaultRowHeight="15.75"/>
  <cols>
    <col min="1" max="1" width="16.625" style="26" customWidth="1"/>
    <col min="2" max="2" width="40" style="26" customWidth="1"/>
    <col min="3" max="3" width="15" style="26" customWidth="1"/>
    <col min="4" max="4" width="16.625" style="26" customWidth="1"/>
    <col min="5" max="5" width="25.875" style="26" customWidth="1"/>
    <col min="6" max="6" width="24.125" style="26" customWidth="1"/>
    <col min="7" max="9" width="17.5" style="26" customWidth="1"/>
    <col min="10" max="10" width="20.875" style="26" customWidth="1"/>
  </cols>
  <sheetData>
    <row r="1" spans="1:10">
      <c r="A1" s="21" t="s">
        <v>904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905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23" t="s">
        <v>906</v>
      </c>
      <c r="B4" s="23"/>
      <c r="C4" s="23"/>
      <c r="D4" s="23"/>
      <c r="E4" s="23"/>
      <c r="F4" s="23"/>
      <c r="G4" s="23"/>
      <c r="H4" s="23"/>
      <c r="I4" s="23"/>
      <c r="J4" s="23"/>
    </row>
    <row r="6" spans="1:10">
      <c r="A6" s="24" t="s">
        <v>907</v>
      </c>
      <c r="B6" s="25" t="s">
        <v>908</v>
      </c>
      <c r="D6" s="24" t="s">
        <v>909</v>
      </c>
      <c r="E6" s="25" t="s">
        <v>910</v>
      </c>
      <c r="G6" s="24" t="s">
        <v>911</v>
      </c>
      <c r="H6" s="27" t="s">
        <v>912</v>
      </c>
      <c r="I6" s="24" t="s">
        <v>913</v>
      </c>
      <c r="J6" s="25" t="s">
        <v>914</v>
      </c>
    </row>
    <row r="9" spans="1:10">
      <c r="A9" s="28" t="s">
        <v>915</v>
      </c>
      <c r="B9" s="28"/>
      <c r="C9" s="28"/>
      <c r="D9" s="28"/>
      <c r="E9" s="28"/>
      <c r="F9" s="28"/>
      <c r="G9" s="28"/>
      <c r="H9" s="28"/>
      <c r="I9" s="28"/>
      <c r="J9" s="28"/>
    </row>
    <row r="10" spans="1:10">
      <c r="A10" s="29" t="s">
        <v>916</v>
      </c>
      <c r="B10" s="29" t="s">
        <v>917</v>
      </c>
      <c r="D10" s="29" t="s">
        <v>925</v>
      </c>
      <c r="E10" s="29" t="s">
        <v>926</v>
      </c>
      <c r="F10" s="29" t="s">
        <v>927</v>
      </c>
    </row>
    <row r="11" spans="1:10">
      <c r="A11" s="26">
        <v>1</v>
      </c>
      <c r="B11" s="26" t="s">
        <v>918</v>
      </c>
      <c r="D11" s="26" t="s">
        <v>928</v>
      </c>
      <c r="E11" s="26" t="s">
        <v>929</v>
      </c>
      <c r="F11" s="26" t="s">
        <v>930</v>
      </c>
    </row>
    <row r="12" spans="1:10">
      <c r="A12" s="26">
        <v>2</v>
      </c>
      <c r="B12" s="26" t="s">
        <v>919</v>
      </c>
      <c r="D12" s="26" t="s">
        <v>931</v>
      </c>
      <c r="E12" s="26" t="s">
        <v>932</v>
      </c>
      <c r="F12" s="26" t="s">
        <v>933</v>
      </c>
    </row>
    <row r="13" spans="1:10" ht="31.5">
      <c r="A13" s="26">
        <v>3</v>
      </c>
      <c r="B13" s="26" t="s">
        <v>920</v>
      </c>
      <c r="D13" s="26" t="s">
        <v>934</v>
      </c>
      <c r="E13" s="26" t="s">
        <v>935</v>
      </c>
      <c r="F13" s="26" t="s">
        <v>936</v>
      </c>
    </row>
    <row r="14" spans="1:10">
      <c r="A14" s="26">
        <v>4</v>
      </c>
      <c r="B14" s="26" t="s">
        <v>921</v>
      </c>
      <c r="D14" s="26" t="s">
        <v>937</v>
      </c>
      <c r="E14" s="26" t="s">
        <v>938</v>
      </c>
      <c r="F14" s="26" t="s">
        <v>939</v>
      </c>
    </row>
    <row r="15" spans="1:10" ht="31.5">
      <c r="A15" s="26">
        <v>5</v>
      </c>
      <c r="B15" s="26" t="s">
        <v>922</v>
      </c>
      <c r="D15" s="26" t="s">
        <v>940</v>
      </c>
      <c r="E15" s="26" t="s">
        <v>941</v>
      </c>
      <c r="F15" s="26" t="s">
        <v>942</v>
      </c>
    </row>
    <row r="16" spans="1:10">
      <c r="A16" s="26">
        <v>6</v>
      </c>
      <c r="B16" s="26" t="s">
        <v>923</v>
      </c>
      <c r="D16" s="26" t="s">
        <v>943</v>
      </c>
      <c r="E16" s="26" t="s">
        <v>944</v>
      </c>
      <c r="F16" s="26" t="s">
        <v>945</v>
      </c>
    </row>
    <row r="17" spans="1:10">
      <c r="A17" s="26">
        <v>7</v>
      </c>
      <c r="B17" s="26" t="s">
        <v>924</v>
      </c>
      <c r="D17" s="26" t="s">
        <v>946</v>
      </c>
      <c r="E17" s="26" t="s">
        <v>947</v>
      </c>
      <c r="F17" s="26" t="s">
        <v>948</v>
      </c>
    </row>
    <row r="20" spans="1:10">
      <c r="A20" s="28" t="s">
        <v>949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>
      <c r="A21" s="29" t="s">
        <v>950</v>
      </c>
      <c r="B21" s="29" t="s">
        <v>951</v>
      </c>
      <c r="C21" s="29" t="s">
        <v>952</v>
      </c>
      <c r="E21" s="29" t="s">
        <v>960</v>
      </c>
      <c r="F21" s="29" t="s">
        <v>961</v>
      </c>
      <c r="G21" s="29" t="s">
        <v>962</v>
      </c>
      <c r="H21" s="29" t="s">
        <v>963</v>
      </c>
      <c r="I21" s="29" t="s">
        <v>964</v>
      </c>
      <c r="J21" s="29" t="s">
        <v>892</v>
      </c>
    </row>
    <row r="22" spans="1:10">
      <c r="A22" s="26">
        <v>1</v>
      </c>
      <c r="B22" s="26" t="s">
        <v>953</v>
      </c>
      <c r="C22" s="26">
        <v>50</v>
      </c>
      <c r="E22" s="26" t="s">
        <v>965</v>
      </c>
      <c r="F22" s="26" t="s">
        <v>966</v>
      </c>
      <c r="G22" s="26" t="s">
        <v>896</v>
      </c>
      <c r="H22" s="26" t="s">
        <v>967</v>
      </c>
      <c r="I22" s="26" t="s">
        <v>968</v>
      </c>
      <c r="J22" s="26" t="s">
        <v>969</v>
      </c>
    </row>
    <row r="23" spans="1:10">
      <c r="A23" s="26">
        <v>2</v>
      </c>
      <c r="B23" s="26" t="s">
        <v>954</v>
      </c>
      <c r="C23" s="26">
        <v>20</v>
      </c>
      <c r="E23" s="26" t="s">
        <v>970</v>
      </c>
      <c r="F23" s="26" t="s">
        <v>16</v>
      </c>
      <c r="G23" s="26" t="s">
        <v>896</v>
      </c>
      <c r="H23" s="26" t="s">
        <v>967</v>
      </c>
      <c r="I23" s="26" t="s">
        <v>971</v>
      </c>
      <c r="J23" s="26" t="s">
        <v>969</v>
      </c>
    </row>
    <row r="24" spans="1:10">
      <c r="A24" s="26">
        <v>3</v>
      </c>
      <c r="B24" s="26" t="s">
        <v>955</v>
      </c>
      <c r="C24" s="26">
        <v>20</v>
      </c>
      <c r="E24" s="26" t="s">
        <v>972</v>
      </c>
      <c r="F24" s="26" t="s">
        <v>973</v>
      </c>
      <c r="G24" s="26" t="s">
        <v>896</v>
      </c>
      <c r="H24" s="26" t="s">
        <v>967</v>
      </c>
      <c r="I24" s="26" t="s">
        <v>968</v>
      </c>
      <c r="J24" s="26" t="s">
        <v>969</v>
      </c>
    </row>
    <row r="25" spans="1:10">
      <c r="A25" s="26">
        <v>4</v>
      </c>
      <c r="B25" s="26" t="s">
        <v>956</v>
      </c>
      <c r="C25" s="26">
        <v>10</v>
      </c>
      <c r="E25" s="26" t="s">
        <v>974</v>
      </c>
      <c r="F25" s="26">
        <v>2002967</v>
      </c>
      <c r="G25" s="26" t="s">
        <v>896</v>
      </c>
      <c r="H25" s="26" t="s">
        <v>975</v>
      </c>
      <c r="I25" s="26" t="s">
        <v>971</v>
      </c>
      <c r="J25" s="26" t="s">
        <v>969</v>
      </c>
    </row>
    <row r="26" spans="1:10">
      <c r="A26" s="26" t="s">
        <v>957</v>
      </c>
      <c r="B26" s="26" t="s">
        <v>958</v>
      </c>
      <c r="C26" s="26" t="s">
        <v>959</v>
      </c>
      <c r="E26" s="26" t="s">
        <v>976</v>
      </c>
      <c r="F26" s="26">
        <v>2002967</v>
      </c>
      <c r="G26" s="26">
        <v>2002967</v>
      </c>
      <c r="H26" s="26" t="s">
        <v>977</v>
      </c>
      <c r="I26" s="26" t="s">
        <v>968</v>
      </c>
      <c r="J26" s="26" t="s">
        <v>969</v>
      </c>
    </row>
    <row r="27" spans="1:10">
      <c r="E27" s="26" t="s">
        <v>978</v>
      </c>
      <c r="G27" s="26" t="s">
        <v>979</v>
      </c>
      <c r="H27" s="26" t="s">
        <v>980</v>
      </c>
      <c r="I27" s="26" t="s">
        <v>968</v>
      </c>
      <c r="J27" s="26" t="s">
        <v>969</v>
      </c>
    </row>
    <row r="30" spans="1:10">
      <c r="A30" s="28" t="s">
        <v>981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>
      <c r="A31" s="29" t="s">
        <v>892</v>
      </c>
      <c r="B31" s="29" t="s">
        <v>982</v>
      </c>
      <c r="D31" s="29" t="s">
        <v>11</v>
      </c>
      <c r="E31" s="29" t="s">
        <v>991</v>
      </c>
      <c r="F31" s="29" t="s">
        <v>992</v>
      </c>
    </row>
    <row r="32" spans="1:10" ht="31.5">
      <c r="A32" s="26" t="s">
        <v>888</v>
      </c>
      <c r="B32" s="26" t="s">
        <v>983</v>
      </c>
      <c r="D32" s="30" t="s">
        <v>993</v>
      </c>
      <c r="E32" s="26" t="s">
        <v>994</v>
      </c>
      <c r="F32" s="26" t="s">
        <v>995</v>
      </c>
    </row>
    <row r="33" spans="1:10">
      <c r="A33" s="26" t="s">
        <v>889</v>
      </c>
      <c r="B33" s="26" t="s">
        <v>984</v>
      </c>
      <c r="D33" s="31" t="s">
        <v>996</v>
      </c>
      <c r="E33" s="26" t="s">
        <v>997</v>
      </c>
      <c r="F33" s="26" t="s">
        <v>980</v>
      </c>
    </row>
    <row r="34" spans="1:10">
      <c r="A34" s="26" t="s">
        <v>985</v>
      </c>
      <c r="B34" s="26" t="s">
        <v>986</v>
      </c>
      <c r="D34" s="32" t="s">
        <v>998</v>
      </c>
      <c r="E34" s="26" t="s">
        <v>999</v>
      </c>
      <c r="F34" s="26" t="s">
        <v>1000</v>
      </c>
    </row>
    <row r="35" spans="1:10">
      <c r="A35" s="26" t="s">
        <v>987</v>
      </c>
      <c r="B35" s="26" t="s">
        <v>988</v>
      </c>
      <c r="D35" s="33" t="s">
        <v>1001</v>
      </c>
      <c r="E35" s="26" t="s">
        <v>1002</v>
      </c>
      <c r="F35" s="26" t="s">
        <v>1003</v>
      </c>
    </row>
    <row r="36" spans="1:10">
      <c r="A36" s="26" t="s">
        <v>989</v>
      </c>
      <c r="B36" s="26" t="s">
        <v>990</v>
      </c>
      <c r="D36" s="34" t="s">
        <v>1004</v>
      </c>
      <c r="E36" s="26" t="s">
        <v>1005</v>
      </c>
      <c r="F36" s="26" t="s">
        <v>980</v>
      </c>
    </row>
    <row r="39" spans="1:10">
      <c r="A39" s="28" t="s">
        <v>1006</v>
      </c>
      <c r="B39" s="28"/>
      <c r="C39" s="28"/>
      <c r="D39" s="28"/>
      <c r="E39" s="28"/>
      <c r="F39" s="28"/>
      <c r="G39" s="28"/>
      <c r="H39" s="28"/>
      <c r="I39" s="28"/>
      <c r="J39" s="28"/>
    </row>
    <row r="40" spans="1:10">
      <c r="A40" s="29" t="s">
        <v>1007</v>
      </c>
      <c r="B40" s="29" t="s">
        <v>1008</v>
      </c>
      <c r="D40" s="29" t="s">
        <v>1023</v>
      </c>
      <c r="E40" s="29" t="s">
        <v>1024</v>
      </c>
      <c r="F40" s="29" t="s">
        <v>1025</v>
      </c>
      <c r="G40" s="29" t="s">
        <v>1026</v>
      </c>
      <c r="H40" s="29" t="s">
        <v>1027</v>
      </c>
      <c r="I40" s="29" t="s">
        <v>1028</v>
      </c>
      <c r="J40" s="29" t="s">
        <v>1029</v>
      </c>
    </row>
    <row r="41" spans="1:10" ht="31.5">
      <c r="A41" s="26" t="s">
        <v>1009</v>
      </c>
      <c r="B41" s="26" t="s">
        <v>1010</v>
      </c>
      <c r="D41" s="26" t="s">
        <v>1030</v>
      </c>
      <c r="E41" s="26" t="s">
        <v>1031</v>
      </c>
      <c r="F41" s="26" t="s">
        <v>1032</v>
      </c>
      <c r="G41" s="26" t="s">
        <v>1033</v>
      </c>
      <c r="H41" s="26" t="s">
        <v>971</v>
      </c>
      <c r="I41" s="26" t="s">
        <v>971</v>
      </c>
      <c r="J41" s="26" t="s">
        <v>1034</v>
      </c>
    </row>
    <row r="42" spans="1:10" ht="31.5">
      <c r="A42" s="26" t="s">
        <v>1011</v>
      </c>
      <c r="B42" s="26" t="s">
        <v>1012</v>
      </c>
      <c r="D42" s="26" t="s">
        <v>1035</v>
      </c>
      <c r="E42" s="26" t="s">
        <v>1036</v>
      </c>
      <c r="F42" s="26" t="s">
        <v>1037</v>
      </c>
      <c r="G42" s="26" t="s">
        <v>1038</v>
      </c>
      <c r="H42" s="26" t="s">
        <v>968</v>
      </c>
      <c r="I42" s="26" t="s">
        <v>1039</v>
      </c>
      <c r="J42" s="26" t="s">
        <v>1040</v>
      </c>
    </row>
    <row r="43" spans="1:10" ht="31.5">
      <c r="A43" s="26" t="s">
        <v>1013</v>
      </c>
      <c r="B43" s="26" t="s">
        <v>1014</v>
      </c>
      <c r="D43" s="26" t="s">
        <v>1041</v>
      </c>
      <c r="E43" s="26" t="s">
        <v>1042</v>
      </c>
      <c r="F43" s="26" t="s">
        <v>1032</v>
      </c>
      <c r="G43" s="26" t="s">
        <v>1043</v>
      </c>
      <c r="H43" s="26" t="s">
        <v>971</v>
      </c>
      <c r="I43" s="26" t="s">
        <v>971</v>
      </c>
      <c r="J43" s="26" t="s">
        <v>1044</v>
      </c>
    </row>
    <row r="44" spans="1:10" ht="31.5">
      <c r="A44" s="26" t="s">
        <v>1015</v>
      </c>
      <c r="B44" s="26" t="s">
        <v>1016</v>
      </c>
      <c r="D44" s="26" t="s">
        <v>1045</v>
      </c>
      <c r="E44" s="26" t="s">
        <v>1046</v>
      </c>
      <c r="F44" s="26" t="s">
        <v>1047</v>
      </c>
      <c r="G44" s="26" t="s">
        <v>1048</v>
      </c>
      <c r="H44" s="26" t="s">
        <v>971</v>
      </c>
      <c r="I44" s="26" t="s">
        <v>1049</v>
      </c>
      <c r="J44" s="26" t="s">
        <v>1050</v>
      </c>
    </row>
    <row r="45" spans="1:10" ht="31.5">
      <c r="A45" s="26" t="s">
        <v>1017</v>
      </c>
      <c r="B45" s="26" t="s">
        <v>1018</v>
      </c>
      <c r="D45" s="26" t="s">
        <v>1051</v>
      </c>
      <c r="E45" s="26" t="s">
        <v>1052</v>
      </c>
      <c r="F45" s="26" t="s">
        <v>1032</v>
      </c>
      <c r="G45" s="26" t="s">
        <v>1053</v>
      </c>
      <c r="H45" s="26" t="s">
        <v>968</v>
      </c>
      <c r="I45" s="26" t="s">
        <v>968</v>
      </c>
      <c r="J45" s="26" t="s">
        <v>1054</v>
      </c>
    </row>
    <row r="46" spans="1:10">
      <c r="A46" s="26" t="s">
        <v>1019</v>
      </c>
      <c r="B46" s="26" t="s">
        <v>1020</v>
      </c>
    </row>
    <row r="47" spans="1:10">
      <c r="A47" s="26" t="s">
        <v>1021</v>
      </c>
      <c r="B47" s="26" t="s">
        <v>1022</v>
      </c>
    </row>
    <row r="50" spans="1:10">
      <c r="A50" s="28" t="s">
        <v>1055</v>
      </c>
      <c r="B50" s="28"/>
      <c r="C50" s="28"/>
      <c r="D50" s="28"/>
      <c r="E50" s="28"/>
      <c r="F50" s="28"/>
      <c r="G50" s="28"/>
      <c r="H50" s="28"/>
      <c r="I50" s="28"/>
      <c r="J50" s="28"/>
    </row>
    <row r="51" spans="1:10">
      <c r="A51" s="29" t="s">
        <v>1056</v>
      </c>
      <c r="B51" s="29" t="s">
        <v>1057</v>
      </c>
      <c r="C51" s="29" t="s">
        <v>1058</v>
      </c>
      <c r="E51" s="29" t="s">
        <v>1065</v>
      </c>
      <c r="F51" s="29" t="s">
        <v>1066</v>
      </c>
      <c r="G51" s="29" t="s">
        <v>959</v>
      </c>
      <c r="H51" s="29" t="s">
        <v>1067</v>
      </c>
      <c r="I51" s="29" t="s">
        <v>1026</v>
      </c>
      <c r="J51" s="29" t="s">
        <v>1068</v>
      </c>
    </row>
    <row r="52" spans="1:10" ht="31.5">
      <c r="A52" s="26" t="s">
        <v>885</v>
      </c>
      <c r="B52" s="26" t="s">
        <v>1059</v>
      </c>
      <c r="C52" s="26" t="s">
        <v>1060</v>
      </c>
      <c r="E52" s="26" t="s">
        <v>890</v>
      </c>
      <c r="F52" s="26" t="s">
        <v>977</v>
      </c>
      <c r="G52" s="26" t="s">
        <v>971</v>
      </c>
      <c r="H52" s="26">
        <v>2002967</v>
      </c>
      <c r="I52" s="26" t="s">
        <v>1069</v>
      </c>
      <c r="J52" s="26" t="s">
        <v>1070</v>
      </c>
    </row>
    <row r="53" spans="1:10">
      <c r="A53" s="26" t="s">
        <v>888</v>
      </c>
      <c r="B53" s="26" t="s">
        <v>1061</v>
      </c>
      <c r="C53" s="26" t="s">
        <v>993</v>
      </c>
      <c r="E53" s="26" t="s">
        <v>1071</v>
      </c>
      <c r="F53" s="26" t="s">
        <v>977</v>
      </c>
      <c r="G53" s="26" t="s">
        <v>971</v>
      </c>
      <c r="H53" s="26" t="s">
        <v>896</v>
      </c>
      <c r="I53" s="26" t="s">
        <v>1072</v>
      </c>
      <c r="J53" s="26" t="s">
        <v>1073</v>
      </c>
    </row>
    <row r="54" spans="1:10">
      <c r="A54" s="26" t="s">
        <v>889</v>
      </c>
      <c r="B54" s="26" t="s">
        <v>1062</v>
      </c>
      <c r="C54" s="26" t="s">
        <v>996</v>
      </c>
      <c r="E54" s="26" t="s">
        <v>1074</v>
      </c>
      <c r="F54" s="26" t="s">
        <v>1075</v>
      </c>
      <c r="G54" s="26" t="s">
        <v>971</v>
      </c>
      <c r="H54" s="26" t="s">
        <v>1076</v>
      </c>
      <c r="I54" s="26" t="s">
        <v>1077</v>
      </c>
      <c r="J54" s="26" t="s">
        <v>1078</v>
      </c>
    </row>
    <row r="55" spans="1:10">
      <c r="A55" s="26" t="s">
        <v>985</v>
      </c>
      <c r="B55" s="26" t="s">
        <v>1063</v>
      </c>
      <c r="C55" s="26" t="s">
        <v>998</v>
      </c>
      <c r="E55" s="26" t="s">
        <v>1079</v>
      </c>
      <c r="F55" s="26" t="s">
        <v>977</v>
      </c>
      <c r="G55" s="26" t="s">
        <v>971</v>
      </c>
      <c r="H55" s="26" t="s">
        <v>1080</v>
      </c>
      <c r="I55" s="26" t="s">
        <v>1033</v>
      </c>
      <c r="J55" s="26" t="s">
        <v>1081</v>
      </c>
    </row>
    <row r="56" spans="1:10">
      <c r="A56" s="26" t="s">
        <v>987</v>
      </c>
      <c r="B56" s="26" t="s">
        <v>1064</v>
      </c>
      <c r="C56" s="26" t="s">
        <v>1001</v>
      </c>
      <c r="E56" s="26" t="s">
        <v>1082</v>
      </c>
      <c r="F56" s="26" t="s">
        <v>1083</v>
      </c>
      <c r="G56" s="26" t="s">
        <v>971</v>
      </c>
      <c r="H56" s="26">
        <v>1</v>
      </c>
      <c r="I56" s="26" t="s">
        <v>1084</v>
      </c>
      <c r="J56" s="26" t="s">
        <v>1085</v>
      </c>
    </row>
    <row r="57" spans="1:10">
      <c r="E57" s="26" t="s">
        <v>1086</v>
      </c>
      <c r="F57" s="26" t="s">
        <v>977</v>
      </c>
      <c r="G57" s="26" t="s">
        <v>968</v>
      </c>
      <c r="H57" s="26" t="s">
        <v>1087</v>
      </c>
      <c r="I57" s="26" t="s">
        <v>1048</v>
      </c>
      <c r="J57" s="26" t="s">
        <v>1088</v>
      </c>
    </row>
    <row r="61" spans="1:10">
      <c r="A61" s="28" t="s">
        <v>1089</v>
      </c>
      <c r="B61" s="28"/>
      <c r="C61" s="28"/>
      <c r="D61" s="28"/>
      <c r="E61" s="28"/>
      <c r="F61" s="28"/>
      <c r="G61" s="28"/>
      <c r="H61" s="28"/>
      <c r="I61" s="28"/>
      <c r="J61" s="28"/>
    </row>
    <row r="62" spans="1:10">
      <c r="A62" s="29" t="s">
        <v>1090</v>
      </c>
      <c r="B62" s="29" t="s">
        <v>1091</v>
      </c>
      <c r="D62" s="29" t="s">
        <v>1110</v>
      </c>
      <c r="E62" s="29" t="s">
        <v>1111</v>
      </c>
      <c r="F62" s="29" t="s">
        <v>950</v>
      </c>
      <c r="G62" s="29" t="s">
        <v>1112</v>
      </c>
      <c r="H62" s="29" t="s">
        <v>1113</v>
      </c>
      <c r="I62" s="29" t="s">
        <v>1114</v>
      </c>
      <c r="J62" s="29" t="s">
        <v>1029</v>
      </c>
    </row>
    <row r="63" spans="1:10" ht="31.5">
      <c r="A63" s="26" t="s">
        <v>1092</v>
      </c>
      <c r="B63" s="26" t="s">
        <v>1093</v>
      </c>
      <c r="D63" s="26">
        <v>1</v>
      </c>
      <c r="E63" s="26" t="s">
        <v>1115</v>
      </c>
      <c r="F63" s="26" t="s">
        <v>1116</v>
      </c>
      <c r="G63" s="26" t="s">
        <v>1117</v>
      </c>
      <c r="H63" s="26" t="s">
        <v>1118</v>
      </c>
      <c r="I63" s="26" t="s">
        <v>1048</v>
      </c>
      <c r="J63" s="26" t="s">
        <v>1119</v>
      </c>
    </row>
    <row r="64" spans="1:10" ht="31.5">
      <c r="A64" s="26" t="s">
        <v>1094</v>
      </c>
      <c r="B64" s="26" t="s">
        <v>1095</v>
      </c>
      <c r="D64" s="26">
        <v>2</v>
      </c>
      <c r="E64" s="26" t="s">
        <v>1120</v>
      </c>
      <c r="F64" s="26" t="s">
        <v>1116</v>
      </c>
      <c r="G64" s="26" t="s">
        <v>1121</v>
      </c>
      <c r="H64" s="26" t="s">
        <v>1122</v>
      </c>
      <c r="I64" s="26" t="s">
        <v>1048</v>
      </c>
      <c r="J64" s="26" t="s">
        <v>1123</v>
      </c>
    </row>
    <row r="65" spans="1:10" ht="31.5">
      <c r="A65" s="26" t="s">
        <v>1096</v>
      </c>
      <c r="B65" s="26" t="s">
        <v>1097</v>
      </c>
      <c r="D65" s="26">
        <v>3</v>
      </c>
      <c r="E65" s="26" t="s">
        <v>1124</v>
      </c>
      <c r="F65" s="26" t="s">
        <v>1125</v>
      </c>
      <c r="G65" s="26" t="s">
        <v>1126</v>
      </c>
      <c r="H65" s="26" t="s">
        <v>1127</v>
      </c>
      <c r="I65" s="26" t="s">
        <v>1048</v>
      </c>
      <c r="J65" s="26" t="s">
        <v>1128</v>
      </c>
    </row>
    <row r="66" spans="1:10" ht="31.5">
      <c r="A66" s="26" t="s">
        <v>1098</v>
      </c>
      <c r="B66" s="26" t="s">
        <v>1099</v>
      </c>
      <c r="D66" s="26">
        <v>4</v>
      </c>
      <c r="E66" s="26" t="s">
        <v>1129</v>
      </c>
      <c r="F66" s="26" t="s">
        <v>1116</v>
      </c>
      <c r="G66" s="26" t="s">
        <v>1126</v>
      </c>
      <c r="H66" s="26" t="s">
        <v>1130</v>
      </c>
      <c r="I66" s="26" t="s">
        <v>1131</v>
      </c>
      <c r="J66" s="26" t="s">
        <v>1132</v>
      </c>
    </row>
    <row r="67" spans="1:10">
      <c r="A67" s="26" t="s">
        <v>1100</v>
      </c>
      <c r="B67" s="26" t="s">
        <v>1101</v>
      </c>
      <c r="D67" s="26" t="s">
        <v>1133</v>
      </c>
      <c r="E67" s="26" t="s">
        <v>1134</v>
      </c>
      <c r="F67" s="26" t="s">
        <v>1135</v>
      </c>
      <c r="G67" s="26" t="s">
        <v>1136</v>
      </c>
      <c r="H67" s="26" t="s">
        <v>1135</v>
      </c>
      <c r="I67" s="26" t="s">
        <v>1135</v>
      </c>
      <c r="J67" s="26" t="s">
        <v>1137</v>
      </c>
    </row>
    <row r="68" spans="1:10">
      <c r="A68" s="26" t="s">
        <v>1102</v>
      </c>
      <c r="B68" s="26" t="s">
        <v>1103</v>
      </c>
    </row>
    <row r="69" spans="1:10">
      <c r="A69" s="26" t="s">
        <v>1104</v>
      </c>
      <c r="B69" s="26" t="s">
        <v>1105</v>
      </c>
    </row>
    <row r="70" spans="1:10">
      <c r="A70" s="26" t="s">
        <v>1106</v>
      </c>
      <c r="B70" s="26" t="s">
        <v>1107</v>
      </c>
    </row>
    <row r="71" spans="1:10">
      <c r="A71" s="26" t="s">
        <v>1108</v>
      </c>
      <c r="B71" s="26" t="s">
        <v>1109</v>
      </c>
    </row>
    <row r="75" spans="1:10">
      <c r="A75" s="28" t="s">
        <v>1138</v>
      </c>
      <c r="B75" s="28"/>
      <c r="C75" s="28"/>
      <c r="D75" s="28"/>
      <c r="E75" s="28"/>
      <c r="F75" s="28"/>
      <c r="G75" s="28"/>
      <c r="H75" s="28"/>
      <c r="I75" s="28"/>
      <c r="J75" s="28"/>
    </row>
    <row r="76" spans="1:10">
      <c r="A76" s="29" t="s">
        <v>1139</v>
      </c>
      <c r="B76" s="29" t="s">
        <v>1140</v>
      </c>
    </row>
    <row r="77" spans="1:10">
      <c r="A77" s="26" t="s">
        <v>907</v>
      </c>
      <c r="B77" s="26" t="s">
        <v>1141</v>
      </c>
    </row>
    <row r="78" spans="1:10">
      <c r="A78" s="26" t="s">
        <v>1142</v>
      </c>
      <c r="B78" s="26" t="s">
        <v>1143</v>
      </c>
    </row>
    <row r="79" spans="1:10">
      <c r="A79" s="26" t="s">
        <v>911</v>
      </c>
      <c r="B79" s="26" t="s">
        <v>1144</v>
      </c>
    </row>
    <row r="80" spans="1:10">
      <c r="A80" s="26" t="s">
        <v>1145</v>
      </c>
      <c r="B80" s="26" t="s">
        <v>1146</v>
      </c>
    </row>
    <row r="81" spans="1:10">
      <c r="A81" s="26" t="s">
        <v>1147</v>
      </c>
      <c r="B81" s="26" t="s">
        <v>1148</v>
      </c>
    </row>
    <row r="82" spans="1:10">
      <c r="A82" s="26" t="s">
        <v>1149</v>
      </c>
      <c r="B82" s="26" t="s">
        <v>1150</v>
      </c>
    </row>
    <row r="83" spans="1:10">
      <c r="A83" s="26" t="s">
        <v>1080</v>
      </c>
      <c r="B83" s="26" t="s">
        <v>1151</v>
      </c>
    </row>
    <row r="86" spans="1:10">
      <c r="A86" s="28" t="s">
        <v>1152</v>
      </c>
      <c r="B86" s="28"/>
      <c r="C86" s="28"/>
      <c r="D86" s="28"/>
      <c r="E86" s="28"/>
      <c r="F86" s="28"/>
      <c r="G86" s="28"/>
      <c r="H86" s="28"/>
      <c r="I86" s="28"/>
      <c r="J86" s="28"/>
    </row>
    <row r="87" spans="1:10">
      <c r="A87" s="29" t="s">
        <v>916</v>
      </c>
      <c r="B87" s="29" t="s">
        <v>1153</v>
      </c>
      <c r="D87" s="29" t="s">
        <v>1163</v>
      </c>
      <c r="E87" s="29" t="s">
        <v>1164</v>
      </c>
      <c r="F87" s="29" t="s">
        <v>1165</v>
      </c>
      <c r="G87" s="29" t="s">
        <v>1116</v>
      </c>
      <c r="H87" s="29" t="s">
        <v>892</v>
      </c>
      <c r="I87" s="29" t="s">
        <v>1075</v>
      </c>
      <c r="J87" s="29" t="s">
        <v>1029</v>
      </c>
    </row>
    <row r="88" spans="1:10" ht="31.5">
      <c r="A88" s="26">
        <v>1</v>
      </c>
      <c r="B88" s="26" t="s">
        <v>1154</v>
      </c>
      <c r="D88" s="26" t="s">
        <v>1166</v>
      </c>
      <c r="E88" s="26" t="s">
        <v>1167</v>
      </c>
      <c r="F88" s="26" t="s">
        <v>1168</v>
      </c>
      <c r="G88" s="26" t="s">
        <v>971</v>
      </c>
      <c r="H88" s="26" t="s">
        <v>1169</v>
      </c>
    </row>
    <row r="89" spans="1:10" ht="31.5">
      <c r="A89" s="26">
        <v>2</v>
      </c>
      <c r="B89" s="26" t="s">
        <v>1155</v>
      </c>
      <c r="D89" s="26" t="s">
        <v>1170</v>
      </c>
      <c r="E89" s="26" t="s">
        <v>1171</v>
      </c>
      <c r="F89" s="26" t="s">
        <v>1168</v>
      </c>
      <c r="G89" s="26" t="s">
        <v>971</v>
      </c>
      <c r="H89" s="26" t="s">
        <v>1169</v>
      </c>
    </row>
    <row r="90" spans="1:10">
      <c r="A90" s="26">
        <v>3</v>
      </c>
      <c r="B90" s="26" t="s">
        <v>1156</v>
      </c>
      <c r="D90" s="26" t="s">
        <v>976</v>
      </c>
      <c r="E90" s="26" t="s">
        <v>1172</v>
      </c>
      <c r="F90" s="26" t="s">
        <v>1168</v>
      </c>
      <c r="G90" s="26" t="s">
        <v>971</v>
      </c>
      <c r="H90" s="26" t="s">
        <v>1169</v>
      </c>
    </row>
    <row r="91" spans="1:10" ht="31.5">
      <c r="A91" s="26">
        <v>4</v>
      </c>
      <c r="B91" s="26" t="s">
        <v>1157</v>
      </c>
      <c r="D91" s="26" t="s">
        <v>1173</v>
      </c>
      <c r="E91" s="26" t="s">
        <v>1174</v>
      </c>
      <c r="F91" s="26" t="s">
        <v>1168</v>
      </c>
      <c r="G91" s="26" t="s">
        <v>971</v>
      </c>
      <c r="H91" s="26" t="s">
        <v>1169</v>
      </c>
    </row>
    <row r="92" spans="1:10" ht="31.5">
      <c r="A92" s="26">
        <v>5</v>
      </c>
      <c r="B92" s="26" t="s">
        <v>1158</v>
      </c>
      <c r="D92" s="26" t="s">
        <v>1175</v>
      </c>
      <c r="E92" s="26" t="s">
        <v>1176</v>
      </c>
      <c r="F92" s="26" t="s">
        <v>1168</v>
      </c>
      <c r="G92" s="26" t="s">
        <v>971</v>
      </c>
      <c r="H92" s="26" t="s">
        <v>1169</v>
      </c>
    </row>
    <row r="93" spans="1:10" ht="31.5">
      <c r="A93" s="26">
        <v>6</v>
      </c>
      <c r="B93" s="26" t="s">
        <v>1159</v>
      </c>
      <c r="D93" s="26" t="s">
        <v>1106</v>
      </c>
      <c r="E93" s="26" t="s">
        <v>1177</v>
      </c>
      <c r="F93" s="26" t="s">
        <v>1090</v>
      </c>
      <c r="G93" s="26" t="s">
        <v>971</v>
      </c>
      <c r="H93" s="26" t="s">
        <v>1169</v>
      </c>
    </row>
    <row r="94" spans="1:10" ht="31.5">
      <c r="A94" s="26">
        <v>7</v>
      </c>
      <c r="B94" s="26" t="s">
        <v>1160</v>
      </c>
      <c r="D94" s="26" t="s">
        <v>1178</v>
      </c>
      <c r="E94" s="26" t="s">
        <v>1179</v>
      </c>
      <c r="F94" s="26" t="s">
        <v>1090</v>
      </c>
      <c r="G94" s="26" t="s">
        <v>971</v>
      </c>
      <c r="H94" s="26" t="s">
        <v>1169</v>
      </c>
    </row>
    <row r="95" spans="1:10" ht="31.5">
      <c r="A95" s="26">
        <v>8</v>
      </c>
      <c r="B95" s="26" t="s">
        <v>1161</v>
      </c>
      <c r="D95" s="26" t="s">
        <v>1180</v>
      </c>
      <c r="E95" s="26" t="s">
        <v>1181</v>
      </c>
      <c r="F95" s="26" t="s">
        <v>1090</v>
      </c>
      <c r="G95" s="26" t="s">
        <v>971</v>
      </c>
      <c r="H95" s="26" t="s">
        <v>1169</v>
      </c>
    </row>
    <row r="96" spans="1:10" ht="31.5">
      <c r="A96" s="26">
        <v>9</v>
      </c>
      <c r="B96" s="26" t="s">
        <v>1162</v>
      </c>
      <c r="D96" s="26" t="s">
        <v>1182</v>
      </c>
      <c r="E96" s="26" t="s">
        <v>1183</v>
      </c>
      <c r="F96" s="26" t="s">
        <v>1132</v>
      </c>
      <c r="G96" s="26" t="s">
        <v>1184</v>
      </c>
      <c r="H96" s="26" t="s">
        <v>1169</v>
      </c>
    </row>
    <row r="99" spans="1:10">
      <c r="A99" s="28" t="s">
        <v>1185</v>
      </c>
      <c r="B99" s="28"/>
      <c r="C99" s="28"/>
      <c r="D99" s="28"/>
      <c r="E99" s="28"/>
      <c r="F99" s="28"/>
      <c r="G99" s="28"/>
      <c r="H99" s="28"/>
      <c r="I99" s="28"/>
      <c r="J99" s="28"/>
    </row>
    <row r="100" spans="1:10">
      <c r="A100" s="29" t="s">
        <v>1186</v>
      </c>
      <c r="B100" s="29" t="s">
        <v>1187</v>
      </c>
    </row>
    <row r="101" spans="1:10">
      <c r="A101" s="26" t="s">
        <v>1188</v>
      </c>
      <c r="B101" s="26" t="s">
        <v>1189</v>
      </c>
    </row>
    <row r="102" spans="1:10">
      <c r="A102" s="26" t="s">
        <v>1190</v>
      </c>
      <c r="B102" s="26" t="s">
        <v>1191</v>
      </c>
    </row>
    <row r="103" spans="1:10">
      <c r="A103" s="26" t="s">
        <v>1192</v>
      </c>
      <c r="B103" s="26" t="s">
        <v>1193</v>
      </c>
    </row>
    <row r="104" spans="1:10">
      <c r="A104" s="26" t="s">
        <v>1194</v>
      </c>
      <c r="B104" s="26" t="s">
        <v>1195</v>
      </c>
    </row>
    <row r="105" spans="1:10">
      <c r="A105" s="26" t="s">
        <v>1196</v>
      </c>
      <c r="B105" s="26" t="s">
        <v>1197</v>
      </c>
    </row>
  </sheetData>
  <mergeCells count="12">
    <mergeCell ref="A39:J39"/>
    <mergeCell ref="A50:J50"/>
    <mergeCell ref="A61:J61"/>
    <mergeCell ref="A75:J75"/>
    <mergeCell ref="A86:J86"/>
    <mergeCell ref="A99:J99"/>
    <mergeCell ref="A1:J1"/>
    <mergeCell ref="A2:J2"/>
    <mergeCell ref="A4:J4"/>
    <mergeCell ref="A9:J9"/>
    <mergeCell ref="A20:J20"/>
    <mergeCell ref="A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موجودی</vt:lpstr>
      <vt:lpstr>ثبت لیبل</vt:lpstr>
      <vt:lpstr>مغایرت</vt:lpstr>
      <vt:lpstr>طرح نرم افزار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GALLERY</dc:creator>
  <cp:lastModifiedBy>TAN FRANCHISE</cp:lastModifiedBy>
  <dcterms:created xsi:type="dcterms:W3CDTF">2026-10-07T14:21:20Z</dcterms:created>
  <dcterms:modified xsi:type="dcterms:W3CDTF">2026-10-07T14:21:20Z</dcterms:modified>
</cp:coreProperties>
</file>